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60"/>
  </bookViews>
  <sheets>
    <sheet name="CA SUMMARY" sheetId="6" r:id="rId1"/>
    <sheet name="CA LEASHOLD IMPROVEMENT" sheetId="1" r:id="rId2"/>
    <sheet name="CA MOTOR VEHICLE" sheetId="2" r:id="rId3"/>
    <sheet name="CA FURNITURE AND FITTING" sheetId="3" r:id="rId4"/>
    <sheet name="CA COMPUTER EQUIPMENTS" sheetId="4" r:id="rId5"/>
    <sheet name="CA OFFICE EQUIPMENTS" sheetId="5" r:id="rId6"/>
    <sheet name="COMPUTER SOFTWARE" sheetId="8" r:id="rId7"/>
    <sheet name="INCOME TAX COMP" sheetId="7" r:id="rId8"/>
    <sheet name="INPUT 2" sheetId="9" r:id="rId9"/>
  </sheets>
  <externalReferences>
    <externalReference r:id="rId10"/>
    <externalReference r:id="rId11"/>
  </externalReferences>
  <definedNames>
    <definedName name="_Key2">#REF!</definedName>
    <definedName name="_Sort">#REF!</definedName>
    <definedName name="BALANCE___SHEET">#REF!</definedName>
    <definedName name="CASH_AND_SHORT_TERM_FUNDS">#REF!</definedName>
    <definedName name="_Key1">#REF!</definedName>
    <definedName name="FDFR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  <author>tc={286A51AB-6D30-4F04-A2F7-8896088A2DD6}</author>
    <author>tc={BDE89E61-E583-44BC-8813-0FB762343EE9}</author>
  </authors>
  <commentList>
    <comment ref="B8" authorId="0">
      <text>
        <r>
          <rPr>
            <sz val="8"/>
            <color rgb="FF000000"/>
            <rFont val="Arial"/>
            <charset val="134"/>
          </rPr>
          <t>items are permanently disallowed.e.g fines. Enter Description and value</t>
        </r>
      </text>
    </comment>
    <comment ref="B12" authorId="1">
      <text>
        <r>
          <rPr>
            <sz val="10"/>
            <rFont val="SimSun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Do not Delete</t>
        </r>
      </text>
    </comment>
    <comment ref="C32" authorId="2">
      <text>
        <r>
          <rPr>
            <sz val="10"/>
            <rFont val="SimSun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DO NOT DELETE ROW</t>
        </r>
      </text>
    </comment>
    <comment ref="B35" authorId="0">
      <text>
        <r>
          <rPr>
            <sz val="11"/>
            <color rgb="FF000000"/>
            <rFont val="Arial"/>
            <charset val="134"/>
          </rPr>
          <t xml:space="preserve">Pedatax:
Items disallowed when provided for but allowable when incurred. Enter description and amount </t>
        </r>
      </text>
    </comment>
    <comment ref="B42" authorId="0">
      <text>
        <r>
          <rPr>
            <sz val="11"/>
            <color rgb="FF000000"/>
            <rFont val="Arial"/>
            <charset val="134"/>
          </rPr>
          <t>Pedatax:
Enter description and value</t>
        </r>
      </text>
    </comment>
    <comment ref="B130" authorId="0">
      <text>
        <r>
          <rPr>
            <sz val="8"/>
            <color rgb="FF000000"/>
            <rFont val="Arial"/>
            <charset val="134"/>
          </rPr>
          <t>Fidelis, Chukwu:
THIS SECTION IS ONLY APPLICABLE TO LOANS WITH FOREIGN RELATED ENTITIES</t>
        </r>
        <r>
          <rPr>
            <sz val="11"/>
            <color rgb="FF000000"/>
            <rFont val="Arial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<sst xmlns="http://schemas.openxmlformats.org/spreadsheetml/2006/main" count="193" uniqueCount="126">
  <si>
    <t>CAPITAL ALLOWANCE COMPUTATION FOR 2022 YEAR OF ASSESSMENT</t>
  </si>
  <si>
    <t>SN</t>
  </si>
  <si>
    <t>CATEGORY</t>
  </si>
  <si>
    <t>TWDV BF</t>
  </si>
  <si>
    <t>ADDITION</t>
  </si>
  <si>
    <t>TWDV ON DISP</t>
  </si>
  <si>
    <t>INITIAL</t>
  </si>
  <si>
    <t>ANNUAL</t>
  </si>
  <si>
    <t>TOTAL</t>
  </si>
  <si>
    <t>TWDV CF</t>
  </si>
  <si>
    <t>LEASEHOLD IMPROVEMENT</t>
  </si>
  <si>
    <t>MOTOR VEHICLE</t>
  </si>
  <si>
    <t>FURNITURE AND FITTINGS</t>
  </si>
  <si>
    <t>COMPUTER EQUIPMENT</t>
  </si>
  <si>
    <t>OFFICE EQUIPMENT</t>
  </si>
  <si>
    <t>COMPUTER SOFTWARE</t>
  </si>
  <si>
    <t>CA- LEASEHOLD IMROVEMENT</t>
  </si>
  <si>
    <t>DETAILS</t>
  </si>
  <si>
    <t>YEAR OF ACQUISITION</t>
  </si>
  <si>
    <t>UNEXP LF BF</t>
  </si>
  <si>
    <t>ADDITIONS</t>
  </si>
  <si>
    <t>INITIAL ALLOWANCE</t>
  </si>
  <si>
    <t>ANNUAL ALLOWANCE</t>
  </si>
  <si>
    <t>TOTAL CA</t>
  </si>
  <si>
    <t>UXPRD LF CF</t>
  </si>
  <si>
    <t>CA- MOTOR VEHICLE</t>
  </si>
  <si>
    <t>CA- FURNITURES AND FITTINGS</t>
  </si>
  <si>
    <t>CA- COMPUTER EQUIPMENTS</t>
  </si>
  <si>
    <t>CA- OFFICE EQUIPMENTS</t>
  </si>
  <si>
    <t>CA- COMPUTER SOTWARE</t>
  </si>
  <si>
    <t>INCOME TAX COMPUTATION FOR 2023 YEAR OF ASSESSMENT</t>
  </si>
  <si>
    <t>NGN</t>
  </si>
  <si>
    <t>Profit before Tax</t>
  </si>
  <si>
    <t>Add back:</t>
  </si>
  <si>
    <t>Total Disallowable Expenses</t>
  </si>
  <si>
    <t>Sub-Total</t>
  </si>
  <si>
    <t>Total Non-Taxable Incomes</t>
  </si>
  <si>
    <t>Assessable Profit/Loss</t>
  </si>
  <si>
    <t>Balancing Charge</t>
  </si>
  <si>
    <t>Loss Relief:</t>
  </si>
  <si>
    <t>Loss bf</t>
  </si>
  <si>
    <t>Loss for the year</t>
  </si>
  <si>
    <t>Loss relieved</t>
  </si>
  <si>
    <t>Loss cf</t>
  </si>
  <si>
    <t>Capital Allowance:</t>
  </si>
  <si>
    <t>Brought forward</t>
  </si>
  <si>
    <t>For the year</t>
  </si>
  <si>
    <t>Balancing Allowance</t>
  </si>
  <si>
    <t>Capital Allowance Withdrawn on Non-Taxable Incomes</t>
  </si>
  <si>
    <t>Relieved</t>
  </si>
  <si>
    <t>Capital Allowance cf</t>
  </si>
  <si>
    <t>Total Profit</t>
  </si>
  <si>
    <t>Income Tax</t>
  </si>
  <si>
    <t>Minimum Tax</t>
  </si>
  <si>
    <t>Dividend Tax</t>
  </si>
  <si>
    <t>Education tax @ 3% of Assessable Profit</t>
  </si>
  <si>
    <t>IT Levy</t>
  </si>
  <si>
    <t>Police Trust Fund</t>
  </si>
  <si>
    <t>NASENI Levy</t>
  </si>
  <si>
    <t>Total Tax Liability</t>
  </si>
  <si>
    <t>Deferred tax charge/(abatement)</t>
  </si>
  <si>
    <t>Total Income tax expense per Income Statement</t>
  </si>
  <si>
    <t>Late Returns Penalty</t>
  </si>
  <si>
    <t>INCOME STATEMENT AND STATEMENT OF FINANCIAL POSITION INFORMATION</t>
  </si>
  <si>
    <t>REPORTING CURRENCY</t>
  </si>
  <si>
    <t>Profit/Loss before Tax</t>
  </si>
  <si>
    <t>ADD BACK DISALLOWED EXPENSES:</t>
  </si>
  <si>
    <t>Category A: Permanent add backs</t>
  </si>
  <si>
    <t>Depreciation</t>
  </si>
  <si>
    <t>Public Relations, Promotions &amp; Adverts</t>
  </si>
  <si>
    <t>Impairment charge</t>
  </si>
  <si>
    <t>Donations</t>
  </si>
  <si>
    <t>Bad and uncollectible debts</t>
  </si>
  <si>
    <t xml:space="preserve">Legal fee relating capital expenditure &amp; Penalty </t>
  </si>
  <si>
    <t>Lease expense</t>
  </si>
  <si>
    <t>Depreciation for Right of use</t>
  </si>
  <si>
    <t>Entertainment</t>
  </si>
  <si>
    <t>Loss on disposal of asset</t>
  </si>
  <si>
    <t>Expense on Exempt/Non-Taxable Incomes</t>
  </si>
  <si>
    <t>Category B: Timing Differences</t>
  </si>
  <si>
    <t>Provision for Bad debt</t>
  </si>
  <si>
    <t>Gratuity &amp; Redundancy Benefits</t>
  </si>
  <si>
    <t>Category C: Other taxable Income Omitted</t>
  </si>
  <si>
    <t>LESS NON TAXABLE INCOME</t>
  </si>
  <si>
    <t>Category A: Exempt Income</t>
  </si>
  <si>
    <t>Dividend income</t>
  </si>
  <si>
    <t>Interest income on FGN Bond</t>
  </si>
  <si>
    <t>Impairment write back</t>
  </si>
  <si>
    <t>Foreign exchange Revaluation gain</t>
  </si>
  <si>
    <t>Prior year unrealise loss now realised</t>
  </si>
  <si>
    <t>Category B: Capital Gains</t>
  </si>
  <si>
    <t>Gain on disposal of property and equipment</t>
  </si>
  <si>
    <t>Category C: Unrealised gains</t>
  </si>
  <si>
    <t>Category D: Other Non Taxable Income</t>
  </si>
  <si>
    <t>INCOME/MINIMUN TAX INFORMATION:</t>
  </si>
  <si>
    <t>TURNOVER/SALES/REVENUE</t>
  </si>
  <si>
    <t>OTHER INCOMES</t>
  </si>
  <si>
    <t>FINANCE INCOME</t>
  </si>
  <si>
    <t>FRANKED INVESTMENT INCOME</t>
  </si>
  <si>
    <t>TOTAL COST AS PER AFS (DIRECT COST &amp; OPEX)</t>
  </si>
  <si>
    <t>AVAILABLE COSTS OF EXEMPT INCOMES</t>
  </si>
  <si>
    <t>NO</t>
  </si>
  <si>
    <t>IDENTIFIED COST OF EXEMPT INCOME</t>
  </si>
  <si>
    <t>DIVIDEND TAX INFORMATION</t>
  </si>
  <si>
    <t>DIVIDEND DECLARED &amp; PAID</t>
  </si>
  <si>
    <t>NON-TAXABLE INCOMES</t>
  </si>
  <si>
    <t>BROUGHT FORWARDS:</t>
  </si>
  <si>
    <t>LOSS BF</t>
  </si>
  <si>
    <t>CAPITAL ALLOWANCE BF</t>
  </si>
  <si>
    <t>DEFERRED TAX LAIBILITY BF</t>
  </si>
  <si>
    <t>DEFERRED TAX ASSET BF</t>
  </si>
  <si>
    <t>LATE RETURNS PENALTY INFORMATION</t>
  </si>
  <si>
    <t>FROM</t>
  </si>
  <si>
    <t>TO</t>
  </si>
  <si>
    <t>IS RETURN LATE?</t>
  </si>
  <si>
    <t>YES</t>
  </si>
  <si>
    <t>MONTHS OF FAILURE</t>
  </si>
  <si>
    <t>JUN</t>
  </si>
  <si>
    <t>NOV</t>
  </si>
  <si>
    <t>YEAR OF FILING</t>
  </si>
  <si>
    <t>NO OF MONTHS OF FAILURE</t>
  </si>
  <si>
    <t>DUE DATE (mm/dd/yyyy)</t>
  </si>
  <si>
    <t>FILLING DATE (mm/dd/yyyy)</t>
  </si>
  <si>
    <t>INTEREST EXPENSE ON RELATED PARTY LOAN</t>
  </si>
  <si>
    <t>INTEREST EXPENSE CHARGED TO INCOME STATEMENT</t>
  </si>
  <si>
    <t>UNCLAIMED INTEREST EXPENSE BF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</si>
</sst>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* #,##0.00_-;\-* #,##0.00_-;_-* &quot;-&quot;??_-;_-@_-"/>
    <numFmt numFmtId="179" formatCode="&quot;Appendix&quot;\ 0"/>
    <numFmt numFmtId="180" formatCode="&quot;Appendix&quot;\ 0&quot;F&quot;"/>
    <numFmt numFmtId="181" formatCode="&quot;Appendix&quot;\ 0&quot;D&quot;"/>
    <numFmt numFmtId="182" formatCode="&quot;Appendix&quot;\ 0&quot;E&quot;"/>
    <numFmt numFmtId="183" formatCode="_-* #,##0_-;\-* #,##0_-;_-* &quot;-&quot;??_-;_-@_-"/>
    <numFmt numFmtId="184" formatCode="&quot;Appendix&quot;\ 0&quot;G&quot;"/>
    <numFmt numFmtId="185" formatCode="&quot;Appendix&quot;\ 0&quot;H&quot;"/>
    <numFmt numFmtId="186" formatCode="&quot;Appendix&quot;\ 0&quot;B&quot;"/>
  </numFmts>
  <fonts count="39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</font>
    <font>
      <sz val="11"/>
      <color theme="0"/>
      <name val="Calibri Light"/>
      <charset val="134"/>
      <scheme val="major"/>
    </font>
    <font>
      <sz val="11"/>
      <color theme="1"/>
      <name val="Arial"/>
      <charset val="134"/>
    </font>
    <font>
      <b/>
      <sz val="11"/>
      <color theme="1"/>
      <name val="Calibri"/>
      <charset val="134"/>
    </font>
    <font>
      <b/>
      <sz val="11"/>
      <color theme="1"/>
      <name val="Calibri Light"/>
      <charset val="134"/>
      <scheme val="major"/>
    </font>
    <font>
      <sz val="11"/>
      <color theme="1"/>
      <name val="Calibri"/>
      <charset val="134"/>
    </font>
    <font>
      <sz val="11"/>
      <color theme="1"/>
      <name val="Calibri Light"/>
      <charset val="134"/>
      <scheme val="major"/>
    </font>
    <font>
      <i/>
      <sz val="11"/>
      <color theme="1"/>
      <name val="Calibri"/>
      <charset val="134"/>
    </font>
    <font>
      <sz val="11"/>
      <name val="Calibri"/>
      <charset val="134"/>
      <scheme val="minor"/>
    </font>
    <font>
      <sz val="11"/>
      <name val="Calibri Light"/>
      <charset val="134"/>
      <scheme val="major"/>
    </font>
    <font>
      <sz val="9"/>
      <color theme="1"/>
      <name val="Century Gothic"/>
      <charset val="134"/>
    </font>
    <font>
      <sz val="11"/>
      <color rgb="FFFF0000"/>
      <name val="Calibri"/>
      <charset val="134"/>
    </font>
    <font>
      <sz val="11"/>
      <name val="Calibri"/>
      <charset val="134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sz val="10.5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color rgb="FF000000"/>
      <name val="Arial"/>
      <charset val="134"/>
    </font>
    <font>
      <sz val="10"/>
      <name val="SimSun"/>
      <charset val="134"/>
    </font>
    <font>
      <sz val="11"/>
      <color rgb="FF000000"/>
      <name val="Arial"/>
      <charset val="134"/>
    </font>
  </fonts>
  <fills count="4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599993896298105"/>
        <bgColor rgb="FF7F7F7F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7F7F7F"/>
      </patternFill>
    </fill>
    <fill>
      <patternFill patternType="solid">
        <fgColor theme="8" tint="0.599993896298105"/>
        <bgColor rgb="FFBFBFBF"/>
      </patternFill>
    </fill>
    <fill>
      <patternFill patternType="solid">
        <fgColor theme="8" tint="0.599993896298105"/>
        <bgColor rgb="FFA5A5A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/>
      <top style="thin">
        <color auto="1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2" borderId="3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3" fillId="0" borderId="35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3" borderId="37" applyNumberFormat="0" applyAlignment="0" applyProtection="0">
      <alignment vertical="center"/>
    </xf>
    <xf numFmtId="0" fontId="26" fillId="14" borderId="38" applyNumberFormat="0" applyAlignment="0" applyProtection="0">
      <alignment vertical="center"/>
    </xf>
    <xf numFmtId="0" fontId="27" fillId="14" borderId="37" applyNumberFormat="0" applyAlignment="0" applyProtection="0">
      <alignment vertical="center"/>
    </xf>
    <xf numFmtId="0" fontId="28" fillId="15" borderId="39" applyNumberFormat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30" fillId="0" borderId="41" applyNumberFormat="0" applyFill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</cellStyleXfs>
  <cellXfs count="168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43" fontId="2" fillId="2" borderId="2" xfId="0" applyNumberFormat="1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3" xfId="0" applyFont="1" applyFill="1" applyBorder="1" applyAlignment="1">
      <alignment vertical="center"/>
    </xf>
    <xf numFmtId="43" fontId="5" fillId="3" borderId="4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/>
    <xf numFmtId="178" fontId="7" fillId="4" borderId="6" xfId="1" applyNumberFormat="1" applyFont="1" applyFill="1" applyBorder="1" applyAlignment="1"/>
    <xf numFmtId="0" fontId="3" fillId="0" borderId="0" xfId="0" applyFont="1" applyFill="1" applyAlignment="1"/>
    <xf numFmtId="0" fontId="6" fillId="0" borderId="0" xfId="0" applyFont="1" applyFill="1" applyAlignment="1"/>
    <xf numFmtId="43" fontId="7" fillId="0" borderId="0" xfId="0" applyNumberFormat="1" applyFont="1" applyFill="1" applyAlignment="1"/>
    <xf numFmtId="0" fontId="4" fillId="0" borderId="7" xfId="0" applyFont="1" applyFill="1" applyBorder="1" applyAlignment="1"/>
    <xf numFmtId="43" fontId="7" fillId="0" borderId="8" xfId="0" applyNumberFormat="1" applyFont="1" applyFill="1" applyBorder="1" applyAlignment="1"/>
    <xf numFmtId="0" fontId="3" fillId="0" borderId="0" xfId="0" applyFont="1" applyFill="1" applyBorder="1" applyAlignment="1"/>
    <xf numFmtId="0" fontId="8" fillId="0" borderId="9" xfId="0" applyFont="1" applyFill="1" applyBorder="1" applyAlignment="1"/>
    <xf numFmtId="43" fontId="7" fillId="0" borderId="10" xfId="0" applyNumberFormat="1" applyFont="1" applyFill="1" applyBorder="1" applyAlignment="1"/>
    <xf numFmtId="0" fontId="9" fillId="0" borderId="9" xfId="0" applyFont="1" applyFill="1" applyBorder="1" applyAlignment="1">
      <alignment vertical="top"/>
    </xf>
    <xf numFmtId="178" fontId="7" fillId="4" borderId="10" xfId="1" applyNumberFormat="1" applyFont="1" applyFill="1" applyBorder="1" applyAlignment="1"/>
    <xf numFmtId="178" fontId="10" fillId="4" borderId="10" xfId="1" applyNumberFormat="1" applyFont="1" applyFill="1" applyBorder="1" applyAlignment="1"/>
    <xf numFmtId="43" fontId="11" fillId="0" borderId="0" xfId="1" applyNumberFormat="1" applyFont="1" applyAlignment="1"/>
    <xf numFmtId="0" fontId="9" fillId="5" borderId="9" xfId="0" applyFont="1" applyFill="1" applyBorder="1" applyAlignment="1">
      <alignment vertical="top"/>
    </xf>
    <xf numFmtId="178" fontId="7" fillId="5" borderId="10" xfId="1" applyNumberFormat="1" applyFont="1" applyFill="1" applyBorder="1" applyAlignment="1"/>
    <xf numFmtId="0" fontId="6" fillId="0" borderId="9" xfId="0" applyFont="1" applyFill="1" applyBorder="1" applyAlignment="1"/>
    <xf numFmtId="43" fontId="7" fillId="3" borderId="10" xfId="0" applyNumberFormat="1" applyFont="1" applyFill="1" applyBorder="1" applyAlignment="1"/>
    <xf numFmtId="0" fontId="6" fillId="0" borderId="9" xfId="0" applyFont="1" applyFill="1" applyBorder="1" applyAlignment="1">
      <alignment vertical="top"/>
    </xf>
    <xf numFmtId="0" fontId="9" fillId="0" borderId="9" xfId="0" applyFont="1" applyFill="1" applyBorder="1" applyAlignment="1"/>
    <xf numFmtId="0" fontId="6" fillId="5" borderId="9" xfId="0" applyFont="1" applyFill="1" applyBorder="1" applyAlignment="1" applyProtection="1">
      <alignment vertical="top"/>
      <protection hidden="1"/>
    </xf>
    <xf numFmtId="43" fontId="7" fillId="6" borderId="10" xfId="0" applyNumberFormat="1" applyFont="1" applyFill="1" applyBorder="1" applyAlignment="1" applyProtection="1">
      <protection hidden="1"/>
    </xf>
    <xf numFmtId="0" fontId="12" fillId="0" borderId="9" xfId="0" applyFont="1" applyFill="1" applyBorder="1" applyAlignment="1"/>
    <xf numFmtId="0" fontId="12" fillId="0" borderId="11" xfId="0" applyFont="1" applyFill="1" applyBorder="1" applyAlignment="1"/>
    <xf numFmtId="43" fontId="7" fillId="3" borderId="12" xfId="0" applyNumberFormat="1" applyFont="1" applyFill="1" applyBorder="1" applyAlignment="1"/>
    <xf numFmtId="0" fontId="8" fillId="0" borderId="5" xfId="0" applyFont="1" applyFill="1" applyBorder="1" applyAlignment="1"/>
    <xf numFmtId="43" fontId="7" fillId="0" borderId="6" xfId="0" applyNumberFormat="1" applyFont="1" applyFill="1" applyBorder="1" applyAlignment="1"/>
    <xf numFmtId="0" fontId="12" fillId="0" borderId="13" xfId="0" applyFont="1" applyFill="1" applyBorder="1" applyAlignment="1"/>
    <xf numFmtId="43" fontId="7" fillId="3" borderId="14" xfId="0" applyNumberFormat="1" applyFont="1" applyFill="1" applyBorder="1" applyAlignment="1"/>
    <xf numFmtId="0" fontId="12" fillId="0" borderId="15" xfId="0" applyFont="1" applyFill="1" applyBorder="1" applyAlignment="1"/>
    <xf numFmtId="43" fontId="7" fillId="3" borderId="16" xfId="0" applyNumberFormat="1" applyFont="1" applyFill="1" applyBorder="1" applyAlignment="1"/>
    <xf numFmtId="0" fontId="12" fillId="0" borderId="0" xfId="0" applyFont="1" applyFill="1" applyAlignment="1"/>
    <xf numFmtId="43" fontId="7" fillId="0" borderId="0" xfId="0" applyNumberFormat="1" applyFont="1" applyFill="1" applyBorder="1" applyAlignment="1"/>
    <xf numFmtId="43" fontId="7" fillId="3" borderId="10" xfId="0" applyNumberFormat="1" applyFont="1" applyFill="1" applyBorder="1" applyAlignment="1">
      <alignment horizontal="center"/>
    </xf>
    <xf numFmtId="43" fontId="7" fillId="0" borderId="10" xfId="0" applyNumberFormat="1" applyFont="1" applyFill="1" applyBorder="1" applyAlignment="1">
      <alignment horizontal="center"/>
    </xf>
    <xf numFmtId="0" fontId="6" fillId="0" borderId="15" xfId="0" applyFont="1" applyFill="1" applyBorder="1" applyAlignment="1"/>
    <xf numFmtId="43" fontId="7" fillId="3" borderId="16" xfId="0" applyNumberFormat="1" applyFont="1" applyFill="1" applyBorder="1" applyAlignment="1">
      <alignment horizontal="center"/>
    </xf>
    <xf numFmtId="43" fontId="7" fillId="4" borderId="16" xfId="0" applyNumberFormat="1" applyFont="1" applyFill="1" applyBorder="1" applyAlignment="1"/>
    <xf numFmtId="178" fontId="7" fillId="4" borderId="16" xfId="1" applyNumberFormat="1" applyFont="1" applyFill="1" applyBorder="1" applyAlignment="1"/>
    <xf numFmtId="43" fontId="7" fillId="0" borderId="17" xfId="0" applyNumberFormat="1" applyFont="1" applyFill="1" applyBorder="1" applyAlignment="1"/>
    <xf numFmtId="0" fontId="3" fillId="0" borderId="8" xfId="0" applyFont="1" applyFill="1" applyBorder="1" applyAlignment="1"/>
    <xf numFmtId="43" fontId="5" fillId="0" borderId="18" xfId="0" applyNumberFormat="1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5" fillId="7" borderId="18" xfId="0" applyFont="1" applyFill="1" applyBorder="1" applyAlignment="1"/>
    <xf numFmtId="0" fontId="3" fillId="0" borderId="10" xfId="0" applyFont="1" applyFill="1" applyBorder="1" applyAlignment="1"/>
    <xf numFmtId="43" fontId="7" fillId="3" borderId="18" xfId="0" applyNumberFormat="1" applyFont="1" applyFill="1" applyBorder="1" applyAlignment="1"/>
    <xf numFmtId="0" fontId="7" fillId="8" borderId="18" xfId="0" applyFont="1" applyFill="1" applyBorder="1" applyAlignment="1">
      <alignment horizontal="left"/>
    </xf>
    <xf numFmtId="0" fontId="6" fillId="5" borderId="9" xfId="0" applyFont="1" applyFill="1" applyBorder="1" applyAlignment="1"/>
    <xf numFmtId="0" fontId="7" fillId="6" borderId="18" xfId="0" applyFont="1" applyFill="1" applyBorder="1" applyAlignment="1">
      <alignment horizontal="left"/>
    </xf>
    <xf numFmtId="0" fontId="3" fillId="5" borderId="10" xfId="0" applyFont="1" applyFill="1" applyBorder="1" applyAlignment="1"/>
    <xf numFmtId="58" fontId="7" fillId="3" borderId="18" xfId="0" applyNumberFormat="1" applyFont="1" applyFill="1" applyBorder="1" applyAlignment="1">
      <alignment horizontal="left"/>
    </xf>
    <xf numFmtId="58" fontId="7" fillId="3" borderId="19" xfId="0" applyNumberFormat="1" applyFont="1" applyFill="1" applyBorder="1" applyAlignment="1">
      <alignment horizontal="left"/>
    </xf>
    <xf numFmtId="0" fontId="3" fillId="0" borderId="16" xfId="0" applyFont="1" applyFill="1" applyBorder="1" applyAlignment="1"/>
    <xf numFmtId="43" fontId="7" fillId="4" borderId="10" xfId="0" applyNumberFormat="1" applyFont="1" applyFill="1" applyBorder="1" applyAlignment="1"/>
    <xf numFmtId="0" fontId="6" fillId="9" borderId="20" xfId="0" applyFont="1" applyFill="1" applyBorder="1" applyAlignment="1" applyProtection="1">
      <protection hidden="1"/>
    </xf>
    <xf numFmtId="0" fontId="6" fillId="9" borderId="21" xfId="0" applyFont="1" applyFill="1" applyBorder="1" applyAlignment="1" applyProtection="1">
      <alignment horizontal="left"/>
      <protection hidden="1"/>
    </xf>
    <xf numFmtId="176" fontId="6" fillId="9" borderId="21" xfId="1" applyFont="1" applyFill="1" applyBorder="1" applyAlignment="1" applyProtection="1">
      <protection hidden="1"/>
    </xf>
    <xf numFmtId="0" fontId="6" fillId="9" borderId="22" xfId="0" applyFont="1" applyFill="1" applyBorder="1" applyAlignment="1" applyProtection="1">
      <protection hidden="1"/>
    </xf>
    <xf numFmtId="0" fontId="6" fillId="9" borderId="23" xfId="0" applyFont="1" applyFill="1" applyBorder="1" applyAlignment="1" applyProtection="1">
      <protection hidden="1"/>
    </xf>
    <xf numFmtId="0" fontId="6" fillId="9" borderId="0" xfId="0" applyFont="1" applyFill="1" applyAlignment="1" applyProtection="1">
      <alignment horizontal="left"/>
      <protection hidden="1"/>
    </xf>
    <xf numFmtId="176" fontId="6" fillId="9" borderId="0" xfId="1" applyFont="1" applyFill="1" applyBorder="1" applyAlignment="1" applyProtection="1">
      <protection hidden="1"/>
    </xf>
    <xf numFmtId="176" fontId="6" fillId="9" borderId="0" xfId="1" applyFont="1" applyFill="1" applyBorder="1" applyAlignment="1" applyProtection="1">
      <alignment horizontal="right"/>
      <protection hidden="1"/>
    </xf>
    <xf numFmtId="0" fontId="6" fillId="9" borderId="24" xfId="0" applyFont="1" applyFill="1" applyBorder="1" applyAlignment="1" applyProtection="1">
      <protection hidden="1"/>
    </xf>
    <xf numFmtId="179" fontId="4" fillId="9" borderId="0" xfId="0" applyNumberFormat="1" applyFont="1" applyFill="1" applyBorder="1" applyAlignment="1" applyProtection="1">
      <alignment horizontal="left"/>
      <protection hidden="1"/>
    </xf>
    <xf numFmtId="0" fontId="4" fillId="9" borderId="18" xfId="0" applyFont="1" applyFill="1" applyBorder="1" applyAlignment="1" applyProtection="1">
      <alignment horizontal="left"/>
      <protection hidden="1"/>
    </xf>
    <xf numFmtId="176" fontId="4" fillId="9" borderId="18" xfId="1" applyFont="1" applyFill="1" applyBorder="1" applyAlignment="1" applyProtection="1">
      <protection hidden="1"/>
    </xf>
    <xf numFmtId="176" fontId="4" fillId="9" borderId="18" xfId="1" applyFont="1" applyFill="1" applyBorder="1" applyAlignment="1" applyProtection="1">
      <alignment horizontal="right"/>
      <protection hidden="1"/>
    </xf>
    <xf numFmtId="176" fontId="4" fillId="9" borderId="18" xfId="1" applyFont="1" applyFill="1" applyBorder="1" applyAlignment="1" applyProtection="1">
      <alignment horizontal="center"/>
      <protection hidden="1"/>
    </xf>
    <xf numFmtId="0" fontId="6" fillId="9" borderId="18" xfId="0" applyFont="1" applyFill="1" applyBorder="1" applyAlignment="1" applyProtection="1">
      <alignment horizontal="left"/>
      <protection hidden="1"/>
    </xf>
    <xf numFmtId="176" fontId="6" fillId="9" borderId="18" xfId="1" applyFont="1" applyFill="1" applyBorder="1" applyAlignment="1" applyProtection="1">
      <protection hidden="1"/>
    </xf>
    <xf numFmtId="43" fontId="6" fillId="0" borderId="0" xfId="1" applyNumberFormat="1" applyFont="1" applyAlignment="1"/>
    <xf numFmtId="176" fontId="6" fillId="9" borderId="18" xfId="1" applyFont="1" applyFill="1" applyBorder="1" applyAlignment="1" applyProtection="1">
      <alignment horizontal="left"/>
      <protection hidden="1"/>
    </xf>
    <xf numFmtId="176" fontId="3" fillId="9" borderId="18" xfId="1" applyFont="1" applyFill="1" applyBorder="1" applyAlignment="1" applyProtection="1">
      <protection hidden="1"/>
    </xf>
    <xf numFmtId="0" fontId="3" fillId="9" borderId="18" xfId="0" applyFont="1" applyFill="1" applyBorder="1" applyAlignment="1" applyProtection="1">
      <protection hidden="1"/>
    </xf>
    <xf numFmtId="0" fontId="13" fillId="9" borderId="18" xfId="0" applyFont="1" applyFill="1" applyBorder="1" applyAlignment="1" applyProtection="1">
      <alignment horizontal="left"/>
      <protection hidden="1"/>
    </xf>
    <xf numFmtId="0" fontId="6" fillId="9" borderId="25" xfId="0" applyFont="1" applyFill="1" applyBorder="1" applyAlignment="1" applyProtection="1">
      <protection hidden="1"/>
    </xf>
    <xf numFmtId="0" fontId="6" fillId="9" borderId="26" xfId="0" applyFont="1" applyFill="1" applyBorder="1" applyAlignment="1" applyProtection="1">
      <protection hidden="1"/>
    </xf>
    <xf numFmtId="0" fontId="6" fillId="9" borderId="0" xfId="0" applyFont="1" applyFill="1" applyBorder="1" applyAlignment="1" applyProtection="1">
      <alignment horizontal="left"/>
      <protection hidden="1"/>
    </xf>
    <xf numFmtId="0" fontId="4" fillId="9" borderId="0" xfId="0" applyFont="1" applyFill="1" applyBorder="1" applyAlignment="1" applyProtection="1">
      <alignment horizontal="left"/>
      <protection hidden="1"/>
    </xf>
    <xf numFmtId="176" fontId="4" fillId="9" borderId="27" xfId="1" applyFont="1" applyFill="1" applyBorder="1" applyAlignment="1" applyProtection="1">
      <protection hidden="1"/>
    </xf>
    <xf numFmtId="176" fontId="6" fillId="9" borderId="28" xfId="1" applyFont="1" applyFill="1" applyBorder="1" applyAlignment="1" applyProtection="1">
      <protection hidden="1"/>
    </xf>
    <xf numFmtId="0" fontId="6" fillId="9" borderId="27" xfId="0" applyFont="1" applyFill="1" applyBorder="1" applyAlignment="1" applyProtection="1">
      <alignment horizontal="left"/>
      <protection hidden="1"/>
    </xf>
    <xf numFmtId="176" fontId="6" fillId="9" borderId="27" xfId="1" applyFont="1" applyFill="1" applyBorder="1" applyAlignment="1" applyProtection="1">
      <protection hidden="1"/>
    </xf>
    <xf numFmtId="0" fontId="0" fillId="0" borderId="0" xfId="0" applyFont="1">
      <alignment vertical="center"/>
    </xf>
    <xf numFmtId="0" fontId="6" fillId="10" borderId="20" xfId="0" applyFont="1" applyFill="1" applyBorder="1" applyAlignment="1" applyProtection="1">
      <protection hidden="1"/>
    </xf>
    <xf numFmtId="0" fontId="6" fillId="10" borderId="21" xfId="0" applyFont="1" applyFill="1" applyBorder="1" applyAlignment="1" applyProtection="1">
      <protection hidden="1"/>
    </xf>
    <xf numFmtId="0" fontId="6" fillId="10" borderId="23" xfId="0" applyFont="1" applyFill="1" applyBorder="1" applyAlignment="1" applyProtection="1">
      <protection hidden="1"/>
    </xf>
    <xf numFmtId="0" fontId="6" fillId="10" borderId="0" xfId="0" applyFont="1" applyFill="1" applyBorder="1" applyAlignment="1" applyProtection="1">
      <protection hidden="1"/>
    </xf>
    <xf numFmtId="0" fontId="4" fillId="10" borderId="20" xfId="0" applyFont="1" applyFill="1" applyBorder="1" applyAlignment="1" applyProtection="1">
      <protection hidden="1"/>
    </xf>
    <xf numFmtId="0" fontId="4" fillId="10" borderId="21" xfId="0" applyFont="1" applyFill="1" applyBorder="1" applyAlignment="1" applyProtection="1">
      <protection hidden="1"/>
    </xf>
    <xf numFmtId="0" fontId="4" fillId="10" borderId="23" xfId="0" applyFont="1" applyFill="1" applyBorder="1" applyAlignment="1" applyProtection="1">
      <protection hidden="1"/>
    </xf>
    <xf numFmtId="0" fontId="4" fillId="10" borderId="0" xfId="0" applyFont="1" applyFill="1" applyBorder="1" applyAlignment="1" applyProtection="1">
      <protection hidden="1"/>
    </xf>
    <xf numFmtId="0" fontId="4" fillId="10" borderId="23" xfId="0" applyFont="1" applyFill="1" applyBorder="1" applyAlignment="1" applyProtection="1">
      <alignment horizontal="center"/>
      <protection hidden="1"/>
    </xf>
    <xf numFmtId="0" fontId="4" fillId="10" borderId="25" xfId="0" applyFont="1" applyFill="1" applyBorder="1" applyAlignment="1" applyProtection="1">
      <alignment horizontal="left"/>
      <protection hidden="1"/>
    </xf>
    <xf numFmtId="0" fontId="4" fillId="10" borderId="27" xfId="0" applyFont="1" applyFill="1" applyBorder="1" applyAlignment="1" applyProtection="1">
      <alignment horizontal="center"/>
      <protection hidden="1"/>
    </xf>
    <xf numFmtId="43" fontId="6" fillId="10" borderId="0" xfId="0" applyNumberFormat="1" applyFont="1" applyFill="1" applyBorder="1" applyAlignment="1" applyProtection="1">
      <protection hidden="1"/>
    </xf>
    <xf numFmtId="0" fontId="6" fillId="10" borderId="0" xfId="0" applyFont="1" applyFill="1" applyBorder="1" applyAlignment="1" applyProtection="1">
      <alignment horizontal="center"/>
      <protection hidden="1"/>
    </xf>
    <xf numFmtId="43" fontId="4" fillId="10" borderId="0" xfId="0" applyNumberFormat="1" applyFont="1" applyFill="1" applyBorder="1" applyAlignment="1" applyProtection="1">
      <protection hidden="1"/>
    </xf>
    <xf numFmtId="43" fontId="4" fillId="10" borderId="29" xfId="0" applyNumberFormat="1" applyFont="1" applyFill="1" applyBorder="1" applyAlignment="1" applyProtection="1">
      <protection hidden="1"/>
    </xf>
    <xf numFmtId="0" fontId="6" fillId="10" borderId="25" xfId="0" applyFont="1" applyFill="1" applyBorder="1" applyAlignment="1" applyProtection="1">
      <protection hidden="1"/>
    </xf>
    <xf numFmtId="0" fontId="6" fillId="10" borderId="27" xfId="0" applyFont="1" applyFill="1" applyBorder="1" applyAlignment="1" applyProtection="1">
      <protection hidden="1"/>
    </xf>
    <xf numFmtId="0" fontId="6" fillId="10" borderId="22" xfId="0" applyFont="1" applyFill="1" applyBorder="1" applyAlignment="1" applyProtection="1">
      <protection hidden="1"/>
    </xf>
    <xf numFmtId="0" fontId="6" fillId="10" borderId="24" xfId="0" applyFont="1" applyFill="1" applyBorder="1" applyAlignment="1" applyProtection="1">
      <protection hidden="1"/>
    </xf>
    <xf numFmtId="9" fontId="4" fillId="10" borderId="21" xfId="0" applyNumberFormat="1" applyFont="1" applyFill="1" applyBorder="1" applyAlignment="1" applyProtection="1">
      <alignment horizontal="center"/>
      <protection hidden="1"/>
    </xf>
    <xf numFmtId="9" fontId="4" fillId="10" borderId="21" xfId="0" applyNumberFormat="1" applyFont="1" applyFill="1" applyBorder="1" applyAlignment="1" applyProtection="1">
      <protection hidden="1"/>
    </xf>
    <xf numFmtId="180" fontId="4" fillId="10" borderId="22" xfId="0" applyNumberFormat="1" applyFont="1" applyFill="1" applyBorder="1" applyAlignment="1" applyProtection="1">
      <protection hidden="1"/>
    </xf>
    <xf numFmtId="0" fontId="4" fillId="10" borderId="26" xfId="0" applyFont="1" applyFill="1" applyBorder="1" applyAlignment="1" applyProtection="1">
      <alignment horizontal="center"/>
      <protection hidden="1"/>
    </xf>
    <xf numFmtId="0" fontId="6" fillId="10" borderId="26" xfId="0" applyFont="1" applyFill="1" applyBorder="1" applyAlignment="1" applyProtection="1">
      <protection hidden="1"/>
    </xf>
    <xf numFmtId="0" fontId="6" fillId="10" borderId="20" xfId="0" applyFont="1" applyFill="1" applyBorder="1" applyAlignment="1" applyProtection="1">
      <alignment horizontal="center"/>
      <protection hidden="1"/>
    </xf>
    <xf numFmtId="0" fontId="6" fillId="10" borderId="23" xfId="0" applyFont="1" applyFill="1" applyBorder="1" applyAlignment="1" applyProtection="1">
      <alignment horizontal="center"/>
      <protection hidden="1"/>
    </xf>
    <xf numFmtId="0" fontId="4" fillId="10" borderId="25" xfId="0" applyFont="1" applyFill="1" applyBorder="1" applyAlignment="1" applyProtection="1">
      <protection hidden="1"/>
    </xf>
    <xf numFmtId="0" fontId="4" fillId="10" borderId="27" xfId="0" applyFont="1" applyFill="1" applyBorder="1" applyAlignment="1" applyProtection="1">
      <protection hidden="1"/>
    </xf>
    <xf numFmtId="181" fontId="4" fillId="10" borderId="22" xfId="0" applyNumberFormat="1" applyFont="1" applyFill="1" applyBorder="1" applyAlignment="1" applyProtection="1">
      <protection hidden="1"/>
    </xf>
    <xf numFmtId="0" fontId="4" fillId="10" borderId="26" xfId="0" applyFont="1" applyFill="1" applyBorder="1" applyAlignment="1" applyProtection="1">
      <protection hidden="1"/>
    </xf>
    <xf numFmtId="0" fontId="14" fillId="11" borderId="20" xfId="0" applyNumberFormat="1" applyFont="1" applyFill="1" applyBorder="1" applyAlignment="1" applyProtection="1">
      <protection hidden="1"/>
    </xf>
    <xf numFmtId="0" fontId="14" fillId="11" borderId="21" xfId="0" applyNumberFormat="1" applyFont="1" applyFill="1" applyBorder="1" applyAlignment="1" applyProtection="1">
      <protection hidden="1"/>
    </xf>
    <xf numFmtId="0" fontId="14" fillId="11" borderId="23" xfId="0" applyNumberFormat="1" applyFont="1" applyFill="1" applyBorder="1" applyAlignment="1" applyProtection="1">
      <protection hidden="1"/>
    </xf>
    <xf numFmtId="0" fontId="14" fillId="11" borderId="0" xfId="0" applyNumberFormat="1" applyFont="1" applyFill="1" applyBorder="1" applyAlignment="1" applyProtection="1">
      <protection hidden="1"/>
    </xf>
    <xf numFmtId="0" fontId="15" fillId="11" borderId="20" xfId="0" applyNumberFormat="1" applyFont="1" applyFill="1" applyBorder="1" applyAlignment="1" applyProtection="1">
      <protection hidden="1"/>
    </xf>
    <xf numFmtId="0" fontId="15" fillId="11" borderId="21" xfId="0" applyNumberFormat="1" applyFont="1" applyFill="1" applyBorder="1" applyAlignment="1" applyProtection="1">
      <protection hidden="1"/>
    </xf>
    <xf numFmtId="0" fontId="15" fillId="11" borderId="23" xfId="0" applyNumberFormat="1" applyFont="1" applyFill="1" applyBorder="1" applyAlignment="1" applyProtection="1">
      <protection hidden="1"/>
    </xf>
    <xf numFmtId="0" fontId="15" fillId="11" borderId="0" xfId="0" applyNumberFormat="1" applyFont="1" applyFill="1" applyBorder="1" applyAlignment="1" applyProtection="1">
      <protection hidden="1"/>
    </xf>
    <xf numFmtId="0" fontId="15" fillId="11" borderId="25" xfId="0" applyNumberFormat="1" applyFont="1" applyFill="1" applyBorder="1" applyAlignment="1" applyProtection="1">
      <protection hidden="1"/>
    </xf>
    <xf numFmtId="0" fontId="15" fillId="11" borderId="27" xfId="0" applyNumberFormat="1" applyFont="1" applyFill="1" applyBorder="1" applyAlignment="1" applyProtection="1">
      <protection hidden="1"/>
    </xf>
    <xf numFmtId="43" fontId="14" fillId="11" borderId="0" xfId="0" applyNumberFormat="1" applyFont="1" applyFill="1" applyBorder="1" applyAlignment="1" applyProtection="1">
      <protection hidden="1"/>
    </xf>
    <xf numFmtId="0" fontId="14" fillId="11" borderId="30" xfId="0" applyNumberFormat="1" applyFont="1" applyFill="1" applyBorder="1" applyAlignment="1" applyProtection="1">
      <protection hidden="1"/>
    </xf>
    <xf numFmtId="0" fontId="14" fillId="11" borderId="31" xfId="0" applyNumberFormat="1" applyFont="1" applyFill="1" applyBorder="1" applyAlignment="1" applyProtection="1">
      <protection hidden="1"/>
    </xf>
    <xf numFmtId="43" fontId="15" fillId="11" borderId="32" xfId="0" applyNumberFormat="1" applyFont="1" applyFill="1" applyBorder="1" applyAlignment="1" applyProtection="1">
      <protection hidden="1"/>
    </xf>
    <xf numFmtId="0" fontId="0" fillId="0" borderId="0" xfId="0" applyFill="1" applyAlignment="1"/>
    <xf numFmtId="9" fontId="15" fillId="11" borderId="21" xfId="0" applyNumberFormat="1" applyFont="1" applyFill="1" applyBorder="1" applyAlignment="1" applyProtection="1">
      <protection hidden="1"/>
    </xf>
    <xf numFmtId="182" fontId="15" fillId="11" borderId="22" xfId="0" applyNumberFormat="1" applyFont="1" applyFill="1" applyBorder="1" applyAlignment="1" applyProtection="1">
      <protection hidden="1"/>
    </xf>
    <xf numFmtId="0" fontId="14" fillId="11" borderId="24" xfId="0" applyNumberFormat="1" applyFont="1" applyFill="1" applyBorder="1" applyAlignment="1" applyProtection="1">
      <protection hidden="1"/>
    </xf>
    <xf numFmtId="0" fontId="15" fillId="11" borderId="26" xfId="0" applyNumberFormat="1" applyFont="1" applyFill="1" applyBorder="1" applyAlignment="1" applyProtection="1">
      <protection hidden="1"/>
    </xf>
    <xf numFmtId="0" fontId="14" fillId="11" borderId="0" xfId="0" applyNumberFormat="1" applyFont="1" applyFill="1" applyBorder="1" applyAlignment="1" applyProtection="1">
      <alignment horizontal="center"/>
      <protection hidden="1"/>
    </xf>
    <xf numFmtId="0" fontId="15" fillId="11" borderId="23" xfId="0" applyNumberFormat="1" applyFont="1" applyFill="1" applyBorder="1" applyAlignment="1" applyProtection="1">
      <alignment horizontal="center"/>
      <protection hidden="1"/>
    </xf>
    <xf numFmtId="0" fontId="15" fillId="11" borderId="25" xfId="0" applyNumberFormat="1" applyFont="1" applyFill="1" applyBorder="1" applyAlignment="1" applyProtection="1">
      <alignment horizontal="left"/>
      <protection hidden="1"/>
    </xf>
    <xf numFmtId="0" fontId="15" fillId="11" borderId="27" xfId="0" applyNumberFormat="1" applyFont="1" applyFill="1" applyBorder="1" applyAlignment="1" applyProtection="1">
      <alignment horizontal="center"/>
      <protection hidden="1"/>
    </xf>
    <xf numFmtId="0" fontId="14" fillId="11" borderId="23" xfId="0" applyNumberFormat="1" applyFont="1" applyFill="1" applyBorder="1" applyAlignment="1" applyProtection="1">
      <alignment horizontal="center"/>
      <protection hidden="1"/>
    </xf>
    <xf numFmtId="183" fontId="16" fillId="0" borderId="0" xfId="49" applyNumberFormat="1" applyFont="1" applyBorder="1" applyAlignment="1">
      <alignment horizontal="center"/>
    </xf>
    <xf numFmtId="43" fontId="15" fillId="11" borderId="0" xfId="0" applyNumberFormat="1" applyFont="1" applyFill="1" applyBorder="1" applyAlignment="1" applyProtection="1">
      <protection hidden="1"/>
    </xf>
    <xf numFmtId="43" fontId="15" fillId="11" borderId="29" xfId="0" applyNumberFormat="1" applyFont="1" applyFill="1" applyBorder="1" applyAlignment="1" applyProtection="1">
      <protection hidden="1"/>
    </xf>
    <xf numFmtId="43" fontId="15" fillId="11" borderId="33" xfId="0" applyNumberFormat="1" applyFont="1" applyFill="1" applyBorder="1" applyAlignment="1" applyProtection="1">
      <protection hidden="1"/>
    </xf>
    <xf numFmtId="0" fontId="14" fillId="11" borderId="25" xfId="0" applyNumberFormat="1" applyFont="1" applyFill="1" applyBorder="1" applyAlignment="1" applyProtection="1">
      <protection hidden="1"/>
    </xf>
    <xf numFmtId="0" fontId="14" fillId="11" borderId="27" xfId="0" applyNumberFormat="1" applyFont="1" applyFill="1" applyBorder="1" applyAlignment="1" applyProtection="1">
      <protection hidden="1"/>
    </xf>
    <xf numFmtId="0" fontId="14" fillId="11" borderId="22" xfId="0" applyNumberFormat="1" applyFont="1" applyFill="1" applyBorder="1" applyAlignment="1" applyProtection="1">
      <protection hidden="1"/>
    </xf>
    <xf numFmtId="9" fontId="15" fillId="11" borderId="21" xfId="0" applyNumberFormat="1" applyFont="1" applyFill="1" applyBorder="1" applyAlignment="1" applyProtection="1">
      <alignment horizontal="center"/>
      <protection hidden="1"/>
    </xf>
    <xf numFmtId="184" fontId="15" fillId="11" borderId="22" xfId="0" applyNumberFormat="1" applyFont="1" applyFill="1" applyBorder="1" applyAlignment="1" applyProtection="1">
      <protection hidden="1"/>
    </xf>
    <xf numFmtId="0" fontId="15" fillId="11" borderId="26" xfId="0" applyNumberFormat="1" applyFont="1" applyFill="1" applyBorder="1" applyAlignment="1" applyProtection="1">
      <alignment horizontal="center"/>
      <protection hidden="1"/>
    </xf>
    <xf numFmtId="0" fontId="14" fillId="11" borderId="24" xfId="0" applyNumberFormat="1" applyFont="1" applyFill="1" applyBorder="1" applyAlignment="1" applyProtection="1">
      <alignment horizontal="center"/>
      <protection hidden="1"/>
    </xf>
    <xf numFmtId="183" fontId="14" fillId="11" borderId="0" xfId="0" applyNumberFormat="1" applyFont="1" applyFill="1" applyBorder="1" applyAlignment="1" applyProtection="1">
      <protection hidden="1"/>
    </xf>
    <xf numFmtId="0" fontId="14" fillId="11" borderId="26" xfId="0" applyNumberFormat="1" applyFont="1" applyFill="1" applyBorder="1" applyAlignment="1" applyProtection="1">
      <protection hidden="1"/>
    </xf>
    <xf numFmtId="176" fontId="0" fillId="0" borderId="0" xfId="1">
      <alignment vertical="center"/>
    </xf>
    <xf numFmtId="0" fontId="15" fillId="11" borderId="25" xfId="0" applyNumberFormat="1" applyFont="1" applyFill="1" applyBorder="1" applyAlignment="1" applyProtection="1">
      <alignment horizontal="left" wrapText="1"/>
      <protection hidden="1"/>
    </xf>
    <xf numFmtId="0" fontId="15" fillId="11" borderId="27" xfId="0" applyNumberFormat="1" applyFont="1" applyFill="1" applyBorder="1" applyAlignment="1" applyProtection="1">
      <alignment horizontal="center" wrapText="1"/>
      <protection hidden="1"/>
    </xf>
    <xf numFmtId="0" fontId="0" fillId="0" borderId="0" xfId="1" applyNumberFormat="1">
      <alignment vertical="center"/>
    </xf>
    <xf numFmtId="185" fontId="15" fillId="11" borderId="22" xfId="0" applyNumberFormat="1" applyFont="1" applyFill="1" applyBorder="1" applyAlignment="1" applyProtection="1">
      <protection hidden="1"/>
    </xf>
    <xf numFmtId="0" fontId="15" fillId="11" borderId="26" xfId="0" applyNumberFormat="1" applyFont="1" applyFill="1" applyBorder="1" applyAlignment="1" applyProtection="1">
      <alignment horizontal="center" wrapText="1"/>
      <protection hidden="1"/>
    </xf>
    <xf numFmtId="176" fontId="14" fillId="11" borderId="24" xfId="1" applyFont="1" applyFill="1" applyBorder="1" applyAlignment="1" applyProtection="1">
      <protection hidden="1"/>
    </xf>
    <xf numFmtId="186" fontId="15" fillId="11" borderId="22" xfId="0" applyNumberFormat="1" applyFont="1" applyFill="1" applyBorder="1" applyAlignment="1" applyProtection="1">
      <protection hidden="1"/>
    </xf>
    <xf numFmtId="0" fontId="4" fillId="10" borderId="0" xfId="0" applyFont="1" applyFill="1" applyBorder="1" applyAlignment="1" applyProtection="1">
      <alignment horizontal="center"/>
      <protection hidden="1"/>
    </xf>
    <xf numFmtId="0" fontId="6" fillId="10" borderId="0" xfId="0" applyFont="1" applyFill="1" applyBorder="1" applyAlignment="1" applyProtection="1">
      <alignment horizontal="left"/>
      <protection hidden="1"/>
    </xf>
    <xf numFmtId="179" fontId="4" fillId="10" borderId="22" xfId="0" applyNumberFormat="1" applyFont="1" applyFill="1" applyBorder="1" applyAlignment="1" applyProtection="1">
      <protection hidden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 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2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intern\Downloads\NEW%20WORK\CIT%20Computation%20Template%20--%20Updated%20for%202024%20YOA%20(2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intern\Downloads\CIT%20COMPUTATION%20OPTIMUS%20BAKNK\OPTIMUS%20BANK%202023\CIT%20COMPUTATION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SHBOARD"/>
      <sheetName val="FRONT PAGE"/>
      <sheetName val="INDEX"/>
      <sheetName val="INPUT 1"/>
      <sheetName val="INPUT 2"/>
      <sheetName val="INPUT 3"/>
      <sheetName val="INPUT 4"/>
      <sheetName val="Annual VAT Analysis"/>
      <sheetName val="Annual WHT Computation"/>
      <sheetName val="INPUT 5"/>
      <sheetName val="INPUT 6"/>
      <sheetName val="RELATED PARTY LOAN"/>
      <sheetName val="DISALLOWABLE COST OF EXEMPT INC"/>
      <sheetName val="SUMMARY OF TOTAL TAX PAYABLE"/>
      <sheetName val="INCOME TAX COMP"/>
      <sheetName val="DEF TAX COM"/>
      <sheetName val="MINIMUM&amp;DIV TAX"/>
      <sheetName val="BAL ADJ"/>
      <sheetName val="CA SUMM"/>
      <sheetName val="CA ON NON TAXABLE INCOME"/>
      <sheetName val="CA BUILDING"/>
      <sheetName val="CA LEASEHOLD IMPROV"/>
      <sheetName val="CA PLANT &amp; EQUIPMNT"/>
      <sheetName val="CA OFFICE EQUIPMENTS"/>
      <sheetName val="CA COMPUTER EQUIPMENTS"/>
      <sheetName val="CA COMPUTER SOFTWARE"/>
      <sheetName val="CA FURNITURES &amp; FITTIN"/>
      <sheetName val="CA MOTOR VEHICLE"/>
      <sheetName val="CA OTHER INTANGIBLES"/>
      <sheetName val="LRP"/>
      <sheetName val="TAX EXP REC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PUT 2"/>
      <sheetName val="Income Tax Comp"/>
      <sheetName val="DASHBOARD"/>
      <sheetName val="CA SUMMARY"/>
      <sheetName val="CA LEASHOLD IMPROVEMENT"/>
      <sheetName val="CA MOTOR VEHICLE"/>
      <sheetName val="CA FURNITURE AND FITTING"/>
      <sheetName val="CA COMPUTER EQUIPMENTS"/>
      <sheetName val="CA COMPUTER SOFTWARE"/>
    </sheetNames>
    <sheetDataSet>
      <sheetData sheetId="0">
        <row r="9">
          <cell r="B9" t="str">
            <v>Public Relations, Promotions &amp; Adverts</v>
          </cell>
        </row>
        <row r="10">
          <cell r="B10" t="str">
            <v>Impairment charge</v>
          </cell>
          <cell r="C10">
            <v>0</v>
          </cell>
        </row>
        <row r="15">
          <cell r="B15" t="str">
            <v>Depreciation for Right of use</v>
          </cell>
          <cell r="C15">
            <v>15156000</v>
          </cell>
        </row>
        <row r="16">
          <cell r="B16" t="str">
            <v>Entertainment</v>
          </cell>
          <cell r="C16">
            <v>18957388.71</v>
          </cell>
        </row>
        <row r="17">
          <cell r="B17" t="str">
            <v>Loss on disposal of asset</v>
          </cell>
        </row>
        <row r="54">
          <cell r="B54" t="str">
            <v>Impairment write back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L19"/>
  <sheetViews>
    <sheetView tabSelected="1" zoomScale="80" zoomScaleNormal="80" workbookViewId="0">
      <selection activeCell="F22" sqref="F22"/>
    </sheetView>
  </sheetViews>
  <sheetFormatPr defaultColWidth="8.72727272727273" defaultRowHeight="14.5"/>
  <cols>
    <col min="4" max="4" width="18.0909090909091" customWidth="1"/>
    <col min="5" max="12" width="27.1545454545455" customWidth="1"/>
  </cols>
  <sheetData>
    <row r="5" ht="15.25"/>
    <row r="6" spans="3:12">
      <c r="C6" s="90"/>
      <c r="D6" s="91"/>
      <c r="E6" s="91"/>
      <c r="F6" s="91"/>
      <c r="G6" s="91"/>
      <c r="H6" s="91"/>
      <c r="I6" s="91"/>
      <c r="J6" s="91"/>
      <c r="K6" s="91"/>
      <c r="L6" s="91"/>
    </row>
    <row r="7" ht="15.25" spans="3:12">
      <c r="C7" s="92"/>
      <c r="D7" s="93"/>
      <c r="E7" s="93"/>
      <c r="F7" s="93"/>
      <c r="G7" s="93"/>
      <c r="H7" s="93"/>
      <c r="I7" s="93"/>
      <c r="J7" s="93"/>
      <c r="K7" s="93"/>
      <c r="L7" s="93"/>
    </row>
    <row r="8" spans="3:12">
      <c r="C8" s="92"/>
      <c r="D8" s="94">
        <v>0</v>
      </c>
      <c r="E8" s="91"/>
      <c r="F8" s="91"/>
      <c r="G8" s="91"/>
      <c r="H8" s="91"/>
      <c r="I8" s="91"/>
      <c r="J8" s="91"/>
      <c r="K8" s="91"/>
      <c r="L8" s="167">
        <v>3</v>
      </c>
    </row>
    <row r="9" ht="15.25" spans="3:12">
      <c r="C9" s="92"/>
      <c r="D9" s="116" t="s">
        <v>0</v>
      </c>
      <c r="E9" s="106"/>
      <c r="F9" s="106"/>
      <c r="G9" s="106"/>
      <c r="H9" s="106"/>
      <c r="I9" s="106"/>
      <c r="J9" s="106"/>
      <c r="K9" s="106"/>
      <c r="L9" s="113"/>
    </row>
    <row r="10" spans="3:12">
      <c r="C10" s="92"/>
      <c r="D10" s="165" t="s">
        <v>1</v>
      </c>
      <c r="E10" s="165" t="s">
        <v>2</v>
      </c>
      <c r="F10" s="165" t="s">
        <v>3</v>
      </c>
      <c r="G10" s="165" t="s">
        <v>4</v>
      </c>
      <c r="H10" s="165" t="s">
        <v>5</v>
      </c>
      <c r="I10" s="165" t="s">
        <v>6</v>
      </c>
      <c r="J10" s="165" t="s">
        <v>7</v>
      </c>
      <c r="K10" s="165" t="s">
        <v>8</v>
      </c>
      <c r="L10" s="165" t="s">
        <v>9</v>
      </c>
    </row>
    <row r="11" spans="3:12">
      <c r="C11" s="92"/>
      <c r="D11" s="102">
        <v>1</v>
      </c>
      <c r="E11" s="166" t="s">
        <v>10</v>
      </c>
      <c r="F11" s="101">
        <f>'CA LEASHOLD IMPROVEMENT'!F11</f>
        <v>402648989.985</v>
      </c>
      <c r="G11" s="101">
        <f>'CA LEASHOLD IMPROVEMENT'!G11</f>
        <v>79066606.644</v>
      </c>
      <c r="H11" s="101">
        <f>'CA LEASHOLD IMPROVEMENT'!H11</f>
        <v>0</v>
      </c>
      <c r="I11" s="101">
        <f>'CA LEASHOLD IMPROVEMENT'!I11</f>
        <v>11859990.9966</v>
      </c>
      <c r="J11" s="101">
        <f>'CA LEASHOLD IMPROVEMENT'!J11</f>
        <v>52206178.4036</v>
      </c>
      <c r="K11" s="101">
        <f>'CA LEASHOLD IMPROVEMENT'!K11</f>
        <v>64066169.4002</v>
      </c>
      <c r="L11" s="101">
        <f>'CA LEASHOLD IMPROVEMENT'!L11</f>
        <v>417649427.2288</v>
      </c>
    </row>
    <row r="12" spans="3:12">
      <c r="C12" s="92"/>
      <c r="D12" s="102">
        <v>2</v>
      </c>
      <c r="E12" s="166" t="s">
        <v>11</v>
      </c>
      <c r="F12" s="101">
        <f>'CA MOTOR VEHICLE'!F12</f>
        <v>4582125</v>
      </c>
      <c r="G12" s="101">
        <f>'CA MOTOR VEHICLE'!G12</f>
        <v>873954269.04</v>
      </c>
      <c r="H12" s="101">
        <f>'CA MOTOR VEHICLE'!H12</f>
        <v>0</v>
      </c>
      <c r="I12" s="101">
        <f>'CA MOTOR VEHICLE'!I12</f>
        <v>436977134.52</v>
      </c>
      <c r="J12" s="101">
        <f>'CA MOTOR VEHICLE'!J12</f>
        <v>147186419.84</v>
      </c>
      <c r="K12" s="101">
        <f>'CA MOTOR VEHICLE'!K12</f>
        <v>584163554.36</v>
      </c>
      <c r="L12" s="101">
        <f>'CA MOTOR VEHICLE'!L12</f>
        <v>294372839.68</v>
      </c>
    </row>
    <row r="13" spans="3:12">
      <c r="C13" s="92"/>
      <c r="D13" s="102">
        <v>3</v>
      </c>
      <c r="E13" s="166" t="s">
        <v>12</v>
      </c>
      <c r="F13" s="101">
        <f>'CA FURNITURE AND FITTING'!F13</f>
        <v>75349600.8</v>
      </c>
      <c r="G13" s="101">
        <f>'CA FURNITURE AND FITTING'!G13</f>
        <v>148677548.29</v>
      </c>
      <c r="H13" s="101">
        <f>'CA FURNITURE AND FITTING'!H13</f>
        <v>0</v>
      </c>
      <c r="I13" s="101">
        <f>'CA FURNITURE AND FITTING'!I13</f>
        <v>37169387.0725</v>
      </c>
      <c r="J13" s="101">
        <f>'CA FURNITURE AND FITTING'!J13</f>
        <v>46714440.504375</v>
      </c>
      <c r="K13" s="101">
        <f>'CA FURNITURE AND FITTING'!K13</f>
        <v>83883827.576875</v>
      </c>
      <c r="L13" s="101">
        <f>'CA FURNITURE AND FITTING'!L13</f>
        <v>140143321.513125</v>
      </c>
    </row>
    <row r="14" spans="3:12">
      <c r="C14" s="92"/>
      <c r="D14" s="102">
        <v>4</v>
      </c>
      <c r="E14" s="166" t="s">
        <v>13</v>
      </c>
      <c r="F14" s="101">
        <f>'CA COMPUTER EQUIPMENTS'!G17</f>
        <v>335532963.375</v>
      </c>
      <c r="G14" s="101">
        <f>'CA COMPUTER EQUIPMENTS'!H17</f>
        <v>207246471.78</v>
      </c>
      <c r="H14" s="101">
        <f>'CA COMPUTER EQUIPMENTS'!I17</f>
        <v>0</v>
      </c>
      <c r="I14" s="101">
        <f>'CA COMPUTER EQUIPMENTS'!J17</f>
        <v>103623235.89</v>
      </c>
      <c r="J14" s="101">
        <f>'CA COMPUTER EQUIPMENTS'!K17</f>
        <v>146385399.755</v>
      </c>
      <c r="K14" s="101">
        <f>'CA COMPUTER EQUIPMENTS'!L17</f>
        <v>250008635.645</v>
      </c>
      <c r="L14" s="101">
        <f>'CA COMPUTER EQUIPMENTS'!M17</f>
        <v>292770799.51</v>
      </c>
    </row>
    <row r="15" spans="3:12">
      <c r="C15" s="92"/>
      <c r="D15" s="102">
        <v>5</v>
      </c>
      <c r="E15" s="166" t="s">
        <v>14</v>
      </c>
      <c r="F15" s="101">
        <f>'CA OFFICE EQUIPMENTS'!G17</f>
        <v>0</v>
      </c>
      <c r="G15" s="101">
        <f>'CA OFFICE EQUIPMENTS'!H17</f>
        <v>75520572.22</v>
      </c>
      <c r="H15" s="101">
        <f>'CA OFFICE EQUIPMENTS'!I17</f>
        <v>0</v>
      </c>
      <c r="I15" s="101">
        <f>'CA OFFICE EQUIPMENTS'!J17</f>
        <v>37760286.11</v>
      </c>
      <c r="J15" s="101">
        <f>'CA OFFICE EQUIPMENTS'!K17</f>
        <v>9440071.5275</v>
      </c>
      <c r="K15" s="101">
        <f>'CA OFFICE EQUIPMENTS'!L17</f>
        <v>47200357.6375</v>
      </c>
      <c r="L15" s="101">
        <f>'CA OFFICE EQUIPMENTS'!M17</f>
        <v>28320214.5825</v>
      </c>
    </row>
    <row r="16" spans="3:12">
      <c r="C16" s="92"/>
      <c r="D16" s="102">
        <v>6</v>
      </c>
      <c r="E16" s="166" t="s">
        <v>15</v>
      </c>
      <c r="F16" s="101">
        <f>'COMPUTER SOFTWARE'!F15</f>
        <v>253495633.125</v>
      </c>
      <c r="G16" s="101">
        <f>'COMPUTER SOFTWARE'!G15</f>
        <v>432394355.57</v>
      </c>
      <c r="H16" s="101">
        <f>'COMPUTER SOFTWARE'!H15</f>
        <v>0</v>
      </c>
      <c r="I16" s="101">
        <f>'COMPUTER SOFTWARE'!I15</f>
        <v>216197177.785</v>
      </c>
      <c r="J16" s="101">
        <f>'COMPUTER SOFTWARE'!J15</f>
        <v>156564270.303333</v>
      </c>
      <c r="K16" s="101">
        <f>'COMPUTER SOFTWARE'!K15</f>
        <v>372761448.088333</v>
      </c>
      <c r="L16" s="101">
        <f>'COMPUTER SOFTWARE'!L15</f>
        <v>313128540.606667</v>
      </c>
    </row>
    <row r="17" ht="15.25" spans="3:12">
      <c r="C17" s="92"/>
      <c r="D17" s="102"/>
      <c r="E17" s="93"/>
      <c r="F17" s="104">
        <f t="shared" ref="F17:L17" si="0">SUM(F11:F16)</f>
        <v>1071609312.285</v>
      </c>
      <c r="G17" s="104">
        <f t="shared" si="0"/>
        <v>1816859823.544</v>
      </c>
      <c r="H17" s="104">
        <f t="shared" si="0"/>
        <v>0</v>
      </c>
      <c r="I17" s="104">
        <f t="shared" si="0"/>
        <v>843587212.3741</v>
      </c>
      <c r="J17" s="104">
        <f t="shared" si="0"/>
        <v>558496780.333808</v>
      </c>
      <c r="K17" s="104">
        <f t="shared" si="0"/>
        <v>1402083992.70791</v>
      </c>
      <c r="L17" s="104">
        <f t="shared" si="0"/>
        <v>1486385143.12109</v>
      </c>
    </row>
    <row r="18" spans="3:12">
      <c r="C18" s="92"/>
      <c r="D18" s="93"/>
      <c r="E18" s="93"/>
      <c r="F18" s="93"/>
      <c r="G18" s="93"/>
      <c r="H18" s="93"/>
      <c r="I18" s="93"/>
      <c r="J18" s="93"/>
      <c r="K18" s="93"/>
      <c r="L18" s="93"/>
    </row>
    <row r="19" ht="15.25" spans="3:12">
      <c r="C19" s="92"/>
      <c r="D19" s="106"/>
      <c r="E19" s="106"/>
      <c r="F19" s="106"/>
      <c r="G19" s="106"/>
      <c r="H19" s="106"/>
      <c r="I19" s="106"/>
      <c r="J19" s="106"/>
      <c r="K19" s="106"/>
      <c r="L19" s="10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M15"/>
  <sheetViews>
    <sheetView zoomScale="70" zoomScaleNormal="70" topLeftCell="G1" workbookViewId="0">
      <selection activeCell="J11" sqref="J11"/>
    </sheetView>
  </sheetViews>
  <sheetFormatPr defaultColWidth="8.72727272727273" defaultRowHeight="14.5"/>
  <cols>
    <col min="3" max="13" width="17.5454545454545" customWidth="1"/>
  </cols>
  <sheetData>
    <row r="3" ht="15.25"/>
    <row r="4" spans="2:13">
      <c r="B4" s="124">
        <v>1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</row>
    <row r="5" spans="2:13">
      <c r="B5" s="126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</row>
    <row r="6" ht="15.25" spans="2:13">
      <c r="B6" s="126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</row>
    <row r="7" spans="2:13">
      <c r="B7" s="126"/>
      <c r="C7" s="124">
        <v>0</v>
      </c>
      <c r="D7" s="121"/>
      <c r="E7" s="125"/>
      <c r="F7" s="125"/>
      <c r="G7" s="125"/>
      <c r="H7" s="125"/>
      <c r="I7" s="151">
        <v>0.15</v>
      </c>
      <c r="J7" s="151">
        <v>0.1</v>
      </c>
      <c r="K7" s="135"/>
      <c r="L7" s="135"/>
      <c r="M7" s="164">
        <v>3</v>
      </c>
    </row>
    <row r="8" spans="2:13">
      <c r="B8" s="126"/>
      <c r="C8" s="126" t="s">
        <v>16</v>
      </c>
      <c r="D8" s="123"/>
      <c r="E8" s="127"/>
      <c r="F8" s="127"/>
      <c r="G8" s="127"/>
      <c r="H8" s="127"/>
      <c r="I8" s="127"/>
      <c r="J8" s="127"/>
      <c r="K8" s="127"/>
      <c r="L8" s="127"/>
      <c r="M8" s="137"/>
    </row>
    <row r="9" ht="15.25" spans="2:13">
      <c r="B9" s="140" t="s">
        <v>1</v>
      </c>
      <c r="C9" s="128" t="s">
        <v>17</v>
      </c>
      <c r="D9" s="142" t="s">
        <v>18</v>
      </c>
      <c r="E9" s="142" t="s">
        <v>19</v>
      </c>
      <c r="F9" s="142" t="s">
        <v>3</v>
      </c>
      <c r="G9" s="142" t="s">
        <v>20</v>
      </c>
      <c r="H9" s="142" t="s">
        <v>5</v>
      </c>
      <c r="I9" s="142" t="s">
        <v>21</v>
      </c>
      <c r="J9" s="142" t="s">
        <v>22</v>
      </c>
      <c r="K9" s="142" t="s">
        <v>23</v>
      </c>
      <c r="L9" s="142" t="s">
        <v>9</v>
      </c>
      <c r="M9" s="153" t="s">
        <v>24</v>
      </c>
    </row>
    <row r="10" spans="2:13">
      <c r="B10" s="143">
        <v>3</v>
      </c>
      <c r="C10" s="123">
        <v>0</v>
      </c>
      <c r="D10" s="139">
        <v>2022</v>
      </c>
      <c r="E10" s="139">
        <v>10</v>
      </c>
      <c r="F10" s="130">
        <v>0</v>
      </c>
      <c r="G10" s="130">
        <v>526338549</v>
      </c>
      <c r="H10" s="130">
        <v>0</v>
      </c>
      <c r="I10" s="130">
        <f>15%*G10</f>
        <v>78950782.35</v>
      </c>
      <c r="J10" s="130">
        <f>(G10-I10)/E10</f>
        <v>44738776.665</v>
      </c>
      <c r="K10" s="130">
        <f>I10+J10</f>
        <v>123689559.015</v>
      </c>
      <c r="L10" s="130">
        <f>G10-K10</f>
        <v>402648989.985</v>
      </c>
      <c r="M10" s="139">
        <v>9</v>
      </c>
    </row>
    <row r="11" spans="2:13">
      <c r="B11" s="143">
        <v>2</v>
      </c>
      <c r="C11" s="123">
        <v>0</v>
      </c>
      <c r="D11" s="139">
        <v>2023</v>
      </c>
      <c r="E11" s="139">
        <v>9</v>
      </c>
      <c r="F11" s="130">
        <f>L10</f>
        <v>402648989.985</v>
      </c>
      <c r="G11" s="130">
        <v>79066606.644</v>
      </c>
      <c r="H11" s="130">
        <v>0</v>
      </c>
      <c r="I11" s="130">
        <f>15%*G11</f>
        <v>11859990.9966</v>
      </c>
      <c r="J11" s="130">
        <f>(G11-I11)/E11+(J10)</f>
        <v>52206178.4036</v>
      </c>
      <c r="K11" s="130">
        <f>I11+J11</f>
        <v>64066169.4002</v>
      </c>
      <c r="L11" s="130">
        <f>(F11+G11)-K11</f>
        <v>417649427.2288</v>
      </c>
      <c r="M11" s="139">
        <v>8</v>
      </c>
    </row>
    <row r="13" ht="15.25" spans="2:13">
      <c r="B13" s="126"/>
      <c r="C13" s="123"/>
      <c r="D13" s="139"/>
      <c r="E13" s="123"/>
      <c r="F13" s="146">
        <f t="shared" ref="F13:L13" si="0">SUM(F10:F12)</f>
        <v>402648989.985</v>
      </c>
      <c r="G13" s="146">
        <f t="shared" si="0"/>
        <v>605405155.644</v>
      </c>
      <c r="H13" s="146">
        <f t="shared" si="0"/>
        <v>0</v>
      </c>
      <c r="I13" s="146">
        <f t="shared" si="0"/>
        <v>90810773.3466</v>
      </c>
      <c r="J13" s="146">
        <f t="shared" si="0"/>
        <v>96944955.0686</v>
      </c>
      <c r="K13" s="146">
        <f t="shared" si="0"/>
        <v>187755728.4152</v>
      </c>
      <c r="L13" s="146">
        <f t="shared" si="0"/>
        <v>820298417.2138</v>
      </c>
      <c r="M13" s="123"/>
    </row>
    <row r="14" spans="2:13">
      <c r="B14" s="126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</row>
    <row r="15" ht="15.25" spans="2:13">
      <c r="B15" s="128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XFD16"/>
  <sheetViews>
    <sheetView zoomScale="70" zoomScaleNormal="70" workbookViewId="0">
      <selection activeCell="I12" sqref="I12:J12"/>
    </sheetView>
  </sheetViews>
  <sheetFormatPr defaultColWidth="8.72727272727273" defaultRowHeight="14.5"/>
  <cols>
    <col min="4" max="15" width="17.1818181818182" customWidth="1"/>
    <col min="16384" max="16384" width="19.4545454545455"/>
  </cols>
  <sheetData>
    <row r="4" ht="15.25"/>
    <row r="5" spans="2:14">
      <c r="B5" s="120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50"/>
    </row>
    <row r="6" spans="2:14">
      <c r="B6" s="122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37"/>
    </row>
    <row r="7" ht="15.25" spans="2:14">
      <c r="B7" s="122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37"/>
    </row>
    <row r="8" spans="2:14">
      <c r="B8" s="122"/>
      <c r="C8" s="124">
        <v>0</v>
      </c>
      <c r="D8" s="121"/>
      <c r="E8" s="125"/>
      <c r="F8" s="125"/>
      <c r="G8" s="125"/>
      <c r="H8" s="125"/>
      <c r="I8" s="151">
        <v>0.5</v>
      </c>
      <c r="J8" s="151">
        <v>0.25</v>
      </c>
      <c r="K8" s="135"/>
      <c r="L8" s="135"/>
      <c r="M8" s="161">
        <v>3</v>
      </c>
      <c r="N8" s="137"/>
    </row>
    <row r="9" spans="2:14">
      <c r="B9" s="122"/>
      <c r="C9" s="126" t="s">
        <v>25</v>
      </c>
      <c r="D9" s="123"/>
      <c r="E9" s="127"/>
      <c r="F9" s="127"/>
      <c r="G9" s="127"/>
      <c r="H9" s="127"/>
      <c r="I9" s="127"/>
      <c r="J9" s="127"/>
      <c r="K9" s="127"/>
      <c r="L9" s="127"/>
      <c r="M9" s="137"/>
      <c r="N9" s="137"/>
    </row>
    <row r="10" ht="29.75" spans="2:14">
      <c r="B10" s="140" t="s">
        <v>1</v>
      </c>
      <c r="C10" s="158" t="s">
        <v>17</v>
      </c>
      <c r="D10" s="159" t="s">
        <v>18</v>
      </c>
      <c r="E10" s="159" t="s">
        <v>19</v>
      </c>
      <c r="F10" s="159" t="s">
        <v>3</v>
      </c>
      <c r="G10" s="159" t="s">
        <v>20</v>
      </c>
      <c r="H10" s="159" t="s">
        <v>5</v>
      </c>
      <c r="I10" s="159" t="s">
        <v>21</v>
      </c>
      <c r="J10" s="159" t="s">
        <v>22</v>
      </c>
      <c r="K10" s="159" t="s">
        <v>23</v>
      </c>
      <c r="L10" s="159" t="s">
        <v>9</v>
      </c>
      <c r="M10" s="162" t="s">
        <v>24</v>
      </c>
      <c r="N10" s="154"/>
    </row>
    <row r="11" spans="2:16384">
      <c r="B11" s="143">
        <v>1</v>
      </c>
      <c r="C11" s="123">
        <v>0</v>
      </c>
      <c r="D11" s="139">
        <v>2022</v>
      </c>
      <c r="E11" s="139">
        <v>4</v>
      </c>
      <c r="F11" s="130">
        <v>0</v>
      </c>
      <c r="G11" s="130">
        <v>12219000</v>
      </c>
      <c r="H11" s="130">
        <v>0</v>
      </c>
      <c r="I11" s="130">
        <f>G11*50%</f>
        <v>6109500</v>
      </c>
      <c r="J11" s="130">
        <f>(G11-I11)/4</f>
        <v>1527375</v>
      </c>
      <c r="K11" s="130">
        <f>I11+J11</f>
        <v>7636875</v>
      </c>
      <c r="L11" s="130">
        <f>G11-K11</f>
        <v>4582125</v>
      </c>
      <c r="M11" s="139">
        <v>3</v>
      </c>
      <c r="N11" s="137"/>
      <c r="XFD11">
        <f>SUM(B11:XFC11)</f>
        <v>32076905</v>
      </c>
    </row>
    <row r="12" s="157" customFormat="1" spans="2:16384">
      <c r="B12" s="160">
        <v>2</v>
      </c>
      <c r="C12" s="160"/>
      <c r="D12" s="160">
        <v>2023</v>
      </c>
      <c r="E12" s="160">
        <v>3</v>
      </c>
      <c r="F12" s="157">
        <f>L11</f>
        <v>4582125</v>
      </c>
      <c r="G12" s="157">
        <v>873954269.04</v>
      </c>
      <c r="I12" s="157">
        <f>50%*G12</f>
        <v>436977134.52</v>
      </c>
      <c r="J12" s="157">
        <f>(G12-I12)/E12+(J11)</f>
        <v>147186419.84</v>
      </c>
      <c r="K12" s="157">
        <f>I12+J12</f>
        <v>584163554.36</v>
      </c>
      <c r="L12" s="157">
        <f>(F12+G12)-K12</f>
        <v>294372839.68</v>
      </c>
      <c r="M12" s="160">
        <v>2</v>
      </c>
      <c r="N12" s="163"/>
      <c r="XFD12" s="157">
        <f>SUM(B12:XFC12)</f>
        <v>2341238372.44</v>
      </c>
    </row>
    <row r="13" ht="15.25" spans="2:14">
      <c r="B13" s="122"/>
      <c r="C13" s="123"/>
      <c r="D13" s="139"/>
      <c r="E13" s="139"/>
      <c r="F13" s="146">
        <f t="shared" ref="F13:L13" si="0">SUM(F11:F12)</f>
        <v>4582125</v>
      </c>
      <c r="G13" s="146">
        <f t="shared" si="0"/>
        <v>886173269.04</v>
      </c>
      <c r="H13" s="146">
        <f t="shared" si="0"/>
        <v>0</v>
      </c>
      <c r="I13" s="146">
        <f t="shared" si="0"/>
        <v>443086634.52</v>
      </c>
      <c r="J13" s="146">
        <f t="shared" si="0"/>
        <v>148713794.84</v>
      </c>
      <c r="K13" s="146">
        <f t="shared" si="0"/>
        <v>591800429.36</v>
      </c>
      <c r="L13" s="146">
        <f t="shared" si="0"/>
        <v>298954964.68</v>
      </c>
      <c r="M13" s="139"/>
      <c r="N13" s="137"/>
    </row>
    <row r="14" spans="2:14">
      <c r="B14" s="122"/>
      <c r="C14" s="123"/>
      <c r="D14" s="139"/>
      <c r="E14" s="139"/>
      <c r="F14" s="123"/>
      <c r="G14" s="123"/>
      <c r="H14" s="123"/>
      <c r="I14" s="123"/>
      <c r="J14" s="123"/>
      <c r="K14" s="123"/>
      <c r="L14" s="123"/>
      <c r="M14" s="139"/>
      <c r="N14" s="137"/>
    </row>
    <row r="15" ht="15.25" spans="2:14">
      <c r="B15" s="148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56"/>
    </row>
    <row r="16" spans="2:14"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N18"/>
  <sheetViews>
    <sheetView zoomScale="60" zoomScaleNormal="60" topLeftCell="E1" workbookViewId="0">
      <selection activeCell="D16" sqref="D16"/>
    </sheetView>
  </sheetViews>
  <sheetFormatPr defaultColWidth="8.72727272727273" defaultRowHeight="14.5"/>
  <cols>
    <col min="4" max="14" width="23.5454545454545" customWidth="1"/>
  </cols>
  <sheetData>
    <row r="4" ht="15.25"/>
    <row r="5" spans="2:14">
      <c r="B5" s="120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50"/>
    </row>
    <row r="6" spans="2:14">
      <c r="B6" s="122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37"/>
    </row>
    <row r="7" ht="15.25" spans="2:14">
      <c r="B7" s="122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37"/>
    </row>
    <row r="8" spans="2:14">
      <c r="B8" s="122"/>
      <c r="C8" s="124">
        <v>0</v>
      </c>
      <c r="D8" s="121"/>
      <c r="E8" s="125"/>
      <c r="F8" s="125"/>
      <c r="G8" s="125"/>
      <c r="H8" s="125"/>
      <c r="I8" s="151">
        <v>0.25</v>
      </c>
      <c r="J8" s="151">
        <v>0.2</v>
      </c>
      <c r="K8" s="135"/>
      <c r="L8" s="135"/>
      <c r="M8" s="152">
        <v>3</v>
      </c>
      <c r="N8" s="137"/>
    </row>
    <row r="9" spans="2:14">
      <c r="B9" s="122"/>
      <c r="C9" s="126" t="s">
        <v>26</v>
      </c>
      <c r="D9" s="123"/>
      <c r="E9" s="127"/>
      <c r="F9" s="127"/>
      <c r="G9" s="127"/>
      <c r="H9" s="127"/>
      <c r="I9" s="127"/>
      <c r="J9" s="127"/>
      <c r="K9" s="127"/>
      <c r="L9" s="127"/>
      <c r="M9" s="137"/>
      <c r="N9" s="137"/>
    </row>
    <row r="10" ht="15.25" spans="2:14">
      <c r="B10" s="140" t="s">
        <v>1</v>
      </c>
      <c r="C10" s="141" t="s">
        <v>17</v>
      </c>
      <c r="D10" s="142" t="s">
        <v>18</v>
      </c>
      <c r="E10" s="142" t="s">
        <v>19</v>
      </c>
      <c r="F10" s="142" t="s">
        <v>3</v>
      </c>
      <c r="G10" s="142" t="s">
        <v>20</v>
      </c>
      <c r="H10" s="142" t="s">
        <v>5</v>
      </c>
      <c r="I10" s="142" t="s">
        <v>21</v>
      </c>
      <c r="J10" s="142" t="s">
        <v>22</v>
      </c>
      <c r="K10" s="142" t="s">
        <v>23</v>
      </c>
      <c r="L10" s="142" t="s">
        <v>9</v>
      </c>
      <c r="M10" s="153" t="s">
        <v>24</v>
      </c>
      <c r="N10" s="154"/>
    </row>
    <row r="11" spans="2:14">
      <c r="B11" s="143">
        <v>1</v>
      </c>
      <c r="C11" s="123">
        <v>0</v>
      </c>
      <c r="D11" s="139">
        <v>0</v>
      </c>
      <c r="E11" s="139">
        <v>0</v>
      </c>
      <c r="F11" s="130"/>
      <c r="G11" s="130">
        <v>0</v>
      </c>
      <c r="H11" s="130">
        <v>0</v>
      </c>
      <c r="I11" s="130"/>
      <c r="J11" s="130">
        <v>0</v>
      </c>
      <c r="K11" s="130">
        <v>0</v>
      </c>
      <c r="L11" s="130">
        <v>0</v>
      </c>
      <c r="M11" s="139">
        <v>0</v>
      </c>
      <c r="N11" s="137"/>
    </row>
    <row r="12" spans="2:14">
      <c r="B12" s="143">
        <v>2</v>
      </c>
      <c r="C12" s="123">
        <v>0</v>
      </c>
      <c r="D12" s="139">
        <v>2022</v>
      </c>
      <c r="E12" s="139">
        <v>5</v>
      </c>
      <c r="F12" s="130"/>
      <c r="G12" s="144">
        <v>125582668</v>
      </c>
      <c r="H12" s="130">
        <v>0</v>
      </c>
      <c r="I12" s="155">
        <f>G12*25%</f>
        <v>31395667</v>
      </c>
      <c r="J12" s="130">
        <f>(G12-I12)/E12</f>
        <v>18837400.2</v>
      </c>
      <c r="K12" s="130">
        <f>I12+J12</f>
        <v>50233067.2</v>
      </c>
      <c r="L12" s="130">
        <f>G12-K12</f>
        <v>75349600.8</v>
      </c>
      <c r="M12" s="139">
        <v>4</v>
      </c>
      <c r="N12" s="137"/>
    </row>
    <row r="13" s="89" customFormat="1" spans="2:14">
      <c r="B13" s="122">
        <v>3</v>
      </c>
      <c r="C13" s="123">
        <v>0</v>
      </c>
      <c r="D13" s="139">
        <v>2023</v>
      </c>
      <c r="E13" s="139">
        <v>4</v>
      </c>
      <c r="F13" s="130">
        <f>L12</f>
        <v>75349600.8</v>
      </c>
      <c r="G13" s="130">
        <v>148677548.29</v>
      </c>
      <c r="H13" s="130">
        <v>0</v>
      </c>
      <c r="I13" s="130">
        <f>25%*G13</f>
        <v>37169387.0725</v>
      </c>
      <c r="J13" s="130">
        <f>(G13-I13)/E13+(J12)</f>
        <v>46714440.504375</v>
      </c>
      <c r="K13" s="130">
        <f>I13+J13</f>
        <v>83883827.576875</v>
      </c>
      <c r="L13" s="130">
        <f>(F13+G13)-K13</f>
        <v>140143321.513125</v>
      </c>
      <c r="M13" s="139">
        <v>3</v>
      </c>
      <c r="N13" s="137"/>
    </row>
    <row r="14" spans="2:14">
      <c r="B14" s="122"/>
      <c r="C14" s="123"/>
      <c r="D14" s="139"/>
      <c r="E14" s="139"/>
      <c r="F14" s="145"/>
      <c r="G14" s="145"/>
      <c r="H14" s="145"/>
      <c r="I14" s="145"/>
      <c r="J14" s="145"/>
      <c r="K14" s="145"/>
      <c r="L14" s="145"/>
      <c r="M14" s="139"/>
      <c r="N14" s="137"/>
    </row>
    <row r="15" spans="2:14">
      <c r="B15" s="122"/>
      <c r="C15" s="123"/>
      <c r="D15" s="139"/>
      <c r="E15" s="139"/>
      <c r="F15" s="145"/>
      <c r="G15" s="145"/>
      <c r="H15" s="145"/>
      <c r="I15" s="145"/>
      <c r="J15" s="145"/>
      <c r="K15" s="145"/>
      <c r="L15" s="145"/>
      <c r="M15" s="139"/>
      <c r="N15" s="137"/>
    </row>
    <row r="16" ht="15.25" spans="2:14">
      <c r="B16" s="122"/>
      <c r="C16" s="123"/>
      <c r="D16" s="139"/>
      <c r="E16" s="139"/>
      <c r="F16" s="146">
        <f t="shared" ref="F16:L16" si="0">SUM(F11:F15)</f>
        <v>75349600.8</v>
      </c>
      <c r="G16" s="147">
        <f t="shared" si="0"/>
        <v>274260216.29</v>
      </c>
      <c r="H16" s="146">
        <f t="shared" si="0"/>
        <v>0</v>
      </c>
      <c r="I16" s="146">
        <f t="shared" si="0"/>
        <v>68565054.0725</v>
      </c>
      <c r="J16" s="146">
        <f t="shared" si="0"/>
        <v>65551840.704375</v>
      </c>
      <c r="K16" s="146">
        <f t="shared" si="0"/>
        <v>134116894.776875</v>
      </c>
      <c r="L16" s="146">
        <f t="shared" si="0"/>
        <v>215492922.313125</v>
      </c>
      <c r="M16" s="139"/>
      <c r="N16" s="137"/>
    </row>
    <row r="17" spans="2:14">
      <c r="B17" s="122"/>
      <c r="C17" s="123"/>
      <c r="D17" s="139"/>
      <c r="E17" s="123"/>
      <c r="F17" s="123"/>
      <c r="G17" s="123"/>
      <c r="H17" s="123"/>
      <c r="I17" s="123"/>
      <c r="J17" s="123"/>
      <c r="K17" s="123"/>
      <c r="L17" s="123"/>
      <c r="M17" s="139"/>
      <c r="N17" s="137"/>
    </row>
    <row r="18" ht="15.25" spans="2:14">
      <c r="B18" s="148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56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6:N25"/>
  <sheetViews>
    <sheetView zoomScale="60" zoomScaleNormal="60" topLeftCell="G1" workbookViewId="0">
      <selection activeCell="G24" sqref="G24"/>
    </sheetView>
  </sheetViews>
  <sheetFormatPr defaultColWidth="8.72727272727273" defaultRowHeight="14.5"/>
  <cols>
    <col min="4" max="14" width="26.4545454545455" customWidth="1"/>
  </cols>
  <sheetData>
    <row r="6" ht="15.25"/>
    <row r="7" spans="3:14">
      <c r="C7" s="120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</row>
    <row r="8" spans="3:14">
      <c r="C8" s="122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</row>
    <row r="9" ht="15.25" spans="3:14">
      <c r="C9" s="122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</row>
    <row r="10" spans="3:14">
      <c r="C10" s="122"/>
      <c r="D10" s="124">
        <v>0</v>
      </c>
      <c r="E10" s="121"/>
      <c r="F10" s="125"/>
      <c r="G10" s="125"/>
      <c r="H10" s="125"/>
      <c r="I10" s="121"/>
      <c r="J10" s="135">
        <v>0.5</v>
      </c>
      <c r="K10" s="135">
        <v>0.25</v>
      </c>
      <c r="L10" s="135"/>
      <c r="M10" s="135"/>
      <c r="N10" s="136">
        <v>3</v>
      </c>
    </row>
    <row r="11" spans="3:14">
      <c r="C11" s="122"/>
      <c r="D11" s="126" t="s">
        <v>27</v>
      </c>
      <c r="E11" s="123"/>
      <c r="F11" s="127"/>
      <c r="G11" s="127"/>
      <c r="H11" s="127"/>
      <c r="I11" s="127"/>
      <c r="J11" s="127"/>
      <c r="K11" s="127"/>
      <c r="L11" s="127"/>
      <c r="M11" s="127"/>
      <c r="N11" s="137"/>
    </row>
    <row r="12" ht="15.25" spans="3:14">
      <c r="C12" s="122" t="s">
        <v>1</v>
      </c>
      <c r="D12" s="128" t="s">
        <v>17</v>
      </c>
      <c r="E12" s="129" t="s">
        <v>18</v>
      </c>
      <c r="F12" s="129" t="s">
        <v>19</v>
      </c>
      <c r="G12" s="129" t="s">
        <v>3</v>
      </c>
      <c r="H12" s="129" t="s">
        <v>20</v>
      </c>
      <c r="I12" s="129" t="s">
        <v>5</v>
      </c>
      <c r="J12" s="129" t="s">
        <v>21</v>
      </c>
      <c r="K12" s="129" t="s">
        <v>22</v>
      </c>
      <c r="L12" s="129" t="s">
        <v>23</v>
      </c>
      <c r="M12" s="129" t="s">
        <v>9</v>
      </c>
      <c r="N12" s="138" t="s">
        <v>24</v>
      </c>
    </row>
    <row r="13" spans="3:14">
      <c r="C13" s="122">
        <v>1</v>
      </c>
      <c r="D13" s="123">
        <v>0</v>
      </c>
      <c r="E13" s="123">
        <v>0</v>
      </c>
      <c r="F13" s="123">
        <v>0</v>
      </c>
      <c r="G13" s="130">
        <v>0</v>
      </c>
      <c r="H13" s="130">
        <v>0</v>
      </c>
      <c r="I13" s="130">
        <v>0</v>
      </c>
      <c r="J13" s="130">
        <v>0</v>
      </c>
      <c r="K13" s="130">
        <v>0</v>
      </c>
      <c r="L13" s="130">
        <v>0</v>
      </c>
      <c r="M13" s="130">
        <v>0</v>
      </c>
      <c r="N13" s="139">
        <v>0</v>
      </c>
    </row>
    <row r="14" spans="3:14">
      <c r="C14" s="122">
        <v>2</v>
      </c>
      <c r="D14" s="123">
        <v>0</v>
      </c>
      <c r="E14" s="123">
        <v>0</v>
      </c>
      <c r="F14" s="123">
        <v>0</v>
      </c>
      <c r="G14" s="130">
        <v>0</v>
      </c>
      <c r="H14" s="130">
        <v>0</v>
      </c>
      <c r="I14" s="130">
        <v>0</v>
      </c>
      <c r="J14" s="130">
        <v>0</v>
      </c>
      <c r="K14" s="130">
        <v>0</v>
      </c>
      <c r="L14" s="130">
        <v>0</v>
      </c>
      <c r="M14" s="130">
        <v>0</v>
      </c>
      <c r="N14" s="139">
        <v>0</v>
      </c>
    </row>
    <row r="15" spans="3:14">
      <c r="C15" s="122">
        <v>3</v>
      </c>
      <c r="D15" s="123">
        <v>0</v>
      </c>
      <c r="E15" s="123">
        <v>0</v>
      </c>
      <c r="F15" s="123">
        <v>0</v>
      </c>
      <c r="G15" s="130">
        <v>0</v>
      </c>
      <c r="H15" s="130">
        <v>0</v>
      </c>
      <c r="I15" s="130">
        <v>0</v>
      </c>
      <c r="J15" s="130">
        <v>0</v>
      </c>
      <c r="K15" s="130">
        <v>0</v>
      </c>
      <c r="L15" s="130">
        <v>0</v>
      </c>
      <c r="M15" s="130">
        <v>0</v>
      </c>
      <c r="N15" s="139">
        <v>0</v>
      </c>
    </row>
    <row r="16" spans="3:14">
      <c r="C16" s="122">
        <v>4</v>
      </c>
      <c r="D16" s="123">
        <v>0</v>
      </c>
      <c r="E16" s="123">
        <v>2022</v>
      </c>
      <c r="F16" s="123">
        <v>4</v>
      </c>
      <c r="G16" s="130">
        <v>0</v>
      </c>
      <c r="H16" s="130">
        <v>894754569</v>
      </c>
      <c r="I16" s="130">
        <v>0</v>
      </c>
      <c r="J16" s="130">
        <f>H16*50%</f>
        <v>447377284.5</v>
      </c>
      <c r="K16" s="130">
        <f>(H16-J16)/F16</f>
        <v>111844321.125</v>
      </c>
      <c r="L16" s="130">
        <f>J16+K16</f>
        <v>559221605.625</v>
      </c>
      <c r="M16" s="130">
        <f>H16-L16</f>
        <v>335532963.375</v>
      </c>
      <c r="N16" s="139">
        <v>3</v>
      </c>
    </row>
    <row r="17" s="89" customFormat="1" spans="3:14">
      <c r="C17" s="122">
        <v>5</v>
      </c>
      <c r="D17" s="123">
        <v>0</v>
      </c>
      <c r="E17" s="123">
        <v>2023</v>
      </c>
      <c r="F17" s="123">
        <v>3</v>
      </c>
      <c r="G17" s="130">
        <f>M16</f>
        <v>335532963.375</v>
      </c>
      <c r="H17" s="130">
        <v>207246471.78</v>
      </c>
      <c r="I17" s="130">
        <v>0</v>
      </c>
      <c r="J17" s="130">
        <f>50%*H17</f>
        <v>103623235.89</v>
      </c>
      <c r="K17" s="130">
        <f>(H17-J17)/F17+(K16)</f>
        <v>146385399.755</v>
      </c>
      <c r="L17" s="130">
        <f>J17+K17</f>
        <v>250008635.645</v>
      </c>
      <c r="M17" s="130">
        <f>(G17+H17)-L17</f>
        <v>292770799.51</v>
      </c>
      <c r="N17" s="123"/>
    </row>
    <row r="18" s="89" customFormat="1" spans="3:14">
      <c r="C18" s="122"/>
      <c r="D18" s="123"/>
      <c r="E18" s="123"/>
      <c r="F18" s="123"/>
      <c r="G18" s="130">
        <v>0</v>
      </c>
      <c r="H18" s="130"/>
      <c r="I18" s="130"/>
      <c r="J18" s="130"/>
      <c r="K18" s="130"/>
      <c r="L18" s="130"/>
      <c r="M18" s="130"/>
      <c r="N18" s="123"/>
    </row>
    <row r="19" s="89" customFormat="1" spans="3:14">
      <c r="C19" s="122"/>
      <c r="D19" s="123"/>
      <c r="E19" s="123"/>
      <c r="F19" s="123"/>
      <c r="G19" s="130">
        <v>0</v>
      </c>
      <c r="H19" s="130"/>
      <c r="I19" s="130"/>
      <c r="J19" s="130"/>
      <c r="K19" s="130"/>
      <c r="L19" s="130"/>
      <c r="M19" s="130"/>
      <c r="N19" s="123"/>
    </row>
    <row r="20" s="89" customFormat="1" spans="3:14">
      <c r="C20" s="122"/>
      <c r="D20" s="123"/>
      <c r="E20" s="123"/>
      <c r="F20" s="123"/>
      <c r="G20" s="130">
        <v>0</v>
      </c>
      <c r="H20" s="130"/>
      <c r="I20" s="130"/>
      <c r="J20" s="130"/>
      <c r="K20" s="130"/>
      <c r="L20" s="130"/>
      <c r="M20" s="130"/>
      <c r="N20" s="123"/>
    </row>
    <row r="21" s="89" customFormat="1" spans="3:14">
      <c r="C21" s="122"/>
      <c r="D21" s="123"/>
      <c r="E21" s="123"/>
      <c r="F21" s="123"/>
      <c r="G21" s="130">
        <v>0</v>
      </c>
      <c r="H21" s="130"/>
      <c r="I21" s="130"/>
      <c r="J21" s="130"/>
      <c r="K21" s="130"/>
      <c r="L21" s="130"/>
      <c r="M21" s="130"/>
      <c r="N21" s="123"/>
    </row>
    <row r="22" spans="3:14">
      <c r="C22" s="131"/>
      <c r="D22" s="132"/>
      <c r="E22" s="132"/>
      <c r="F22" s="132"/>
      <c r="G22" s="133">
        <f t="shared" ref="G22:M22" si="0">SUM(G13:G21)</f>
        <v>335532963.375</v>
      </c>
      <c r="H22" s="133">
        <f t="shared" si="0"/>
        <v>1102001040.78</v>
      </c>
      <c r="I22" s="133">
        <f t="shared" si="0"/>
        <v>0</v>
      </c>
      <c r="J22" s="133">
        <f t="shared" si="0"/>
        <v>551000520.39</v>
      </c>
      <c r="K22" s="133">
        <f t="shared" si="0"/>
        <v>258229720.88</v>
      </c>
      <c r="L22" s="133">
        <f t="shared" si="0"/>
        <v>809230241.27</v>
      </c>
      <c r="M22" s="133">
        <f t="shared" si="0"/>
        <v>628303762.885</v>
      </c>
      <c r="N22" s="132"/>
    </row>
    <row r="23" spans="3:14">
      <c r="C23" s="122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</row>
    <row r="24" spans="3:14"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</row>
    <row r="25" spans="3:14"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7:O25"/>
  <sheetViews>
    <sheetView zoomScale="60" zoomScaleNormal="60" topLeftCell="E1" workbookViewId="0">
      <selection activeCell="N10" sqref="N10"/>
    </sheetView>
  </sheetViews>
  <sheetFormatPr defaultColWidth="8.72727272727273" defaultRowHeight="14.5"/>
  <cols>
    <col min="4" max="15" width="27.2727272727273" customWidth="1"/>
  </cols>
  <sheetData>
    <row r="7" ht="15.25"/>
    <row r="8" spans="3:15">
      <c r="C8" s="114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107"/>
    </row>
    <row r="9" spans="3:15">
      <c r="C9" s="115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108"/>
    </row>
    <row r="10" ht="15.25" spans="3:15">
      <c r="C10" s="115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108"/>
    </row>
    <row r="11" spans="3:15">
      <c r="C11" s="115"/>
      <c r="D11" s="94">
        <v>0</v>
      </c>
      <c r="E11" s="91"/>
      <c r="F11" s="95"/>
      <c r="G11" s="95"/>
      <c r="H11" s="95"/>
      <c r="I11" s="95"/>
      <c r="J11" s="109">
        <v>0.5</v>
      </c>
      <c r="K11" s="109">
        <v>0.25</v>
      </c>
      <c r="L11" s="109"/>
      <c r="M11" s="109"/>
      <c r="N11" s="118">
        <v>3</v>
      </c>
      <c r="O11" s="108"/>
    </row>
    <row r="12" spans="3:15">
      <c r="C12" s="115"/>
      <c r="D12" s="96" t="s">
        <v>28</v>
      </c>
      <c r="E12" s="93"/>
      <c r="F12" s="97"/>
      <c r="G12" s="97"/>
      <c r="H12" s="97"/>
      <c r="I12" s="97"/>
      <c r="J12" s="97"/>
      <c r="K12" s="97"/>
      <c r="L12" s="97"/>
      <c r="M12" s="97"/>
      <c r="N12" s="108"/>
      <c r="O12" s="108"/>
    </row>
    <row r="13" ht="15.25" spans="3:15">
      <c r="C13" s="115" t="s">
        <v>1</v>
      </c>
      <c r="D13" s="116" t="s">
        <v>17</v>
      </c>
      <c r="E13" s="117" t="s">
        <v>18</v>
      </c>
      <c r="F13" s="117" t="s">
        <v>19</v>
      </c>
      <c r="G13" s="117" t="s">
        <v>3</v>
      </c>
      <c r="H13" s="117" t="s">
        <v>20</v>
      </c>
      <c r="I13" s="117" t="s">
        <v>5</v>
      </c>
      <c r="J13" s="117" t="s">
        <v>21</v>
      </c>
      <c r="K13" s="117" t="s">
        <v>22</v>
      </c>
      <c r="L13" s="117" t="s">
        <v>23</v>
      </c>
      <c r="M13" s="117" t="s">
        <v>9</v>
      </c>
      <c r="N13" s="119" t="s">
        <v>24</v>
      </c>
      <c r="O13" s="108"/>
    </row>
    <row r="14" ht="23" customHeight="1" spans="3:15">
      <c r="C14" s="115">
        <v>1</v>
      </c>
      <c r="D14" s="93">
        <v>0</v>
      </c>
      <c r="E14" s="93">
        <v>0</v>
      </c>
      <c r="F14" s="93">
        <v>0</v>
      </c>
      <c r="G14" s="101">
        <v>0</v>
      </c>
      <c r="H14" s="101"/>
      <c r="I14" s="101">
        <v>0</v>
      </c>
      <c r="J14" s="101"/>
      <c r="K14" s="101">
        <v>0</v>
      </c>
      <c r="L14" s="101">
        <v>0</v>
      </c>
      <c r="M14" s="101">
        <v>0</v>
      </c>
      <c r="N14" s="102">
        <v>0</v>
      </c>
      <c r="O14" s="108"/>
    </row>
    <row r="15" spans="3:15">
      <c r="C15" s="115">
        <v>1</v>
      </c>
      <c r="D15" s="93">
        <v>0</v>
      </c>
      <c r="E15" s="93">
        <v>0</v>
      </c>
      <c r="F15" s="93">
        <v>0</v>
      </c>
      <c r="G15" s="101">
        <v>0</v>
      </c>
      <c r="H15" s="101"/>
      <c r="I15" s="101">
        <v>0</v>
      </c>
      <c r="J15" s="101"/>
      <c r="K15" s="101">
        <v>0</v>
      </c>
      <c r="L15" s="101">
        <v>0</v>
      </c>
      <c r="M15" s="101">
        <v>0</v>
      </c>
      <c r="N15" s="102">
        <v>0</v>
      </c>
      <c r="O15" s="108"/>
    </row>
    <row r="16" spans="3:15">
      <c r="C16" s="115">
        <v>1</v>
      </c>
      <c r="D16" s="93">
        <v>0</v>
      </c>
      <c r="E16" s="93">
        <v>0</v>
      </c>
      <c r="F16" s="93">
        <v>0</v>
      </c>
      <c r="G16" s="101">
        <v>0</v>
      </c>
      <c r="H16" s="101"/>
      <c r="I16" s="101">
        <v>0</v>
      </c>
      <c r="J16" s="101"/>
      <c r="K16" s="101">
        <v>0</v>
      </c>
      <c r="L16" s="101">
        <v>0</v>
      </c>
      <c r="M16" s="101">
        <v>0</v>
      </c>
      <c r="N16" s="102">
        <v>0</v>
      </c>
      <c r="O16" s="108"/>
    </row>
    <row r="17" spans="3:15">
      <c r="C17" s="115">
        <v>1</v>
      </c>
      <c r="D17" s="93">
        <v>0</v>
      </c>
      <c r="E17" s="93">
        <v>2023</v>
      </c>
      <c r="F17" s="93">
        <v>4</v>
      </c>
      <c r="G17" s="101">
        <v>0</v>
      </c>
      <c r="H17" s="101">
        <v>75520572.22</v>
      </c>
      <c r="I17" s="101">
        <v>0</v>
      </c>
      <c r="J17" s="101">
        <f>50%*H17</f>
        <v>37760286.11</v>
      </c>
      <c r="K17" s="101">
        <f>(H17-J17)/F17</f>
        <v>9440071.5275</v>
      </c>
      <c r="L17" s="101">
        <f>J17+K17</f>
        <v>47200357.6375</v>
      </c>
      <c r="M17" s="101">
        <f>H17-L17</f>
        <v>28320214.5825</v>
      </c>
      <c r="N17" s="102">
        <v>0</v>
      </c>
      <c r="O17" s="108"/>
    </row>
    <row r="18" ht="15.25" spans="3:15">
      <c r="C18" s="115"/>
      <c r="D18" s="93"/>
      <c r="E18" s="93"/>
      <c r="F18" s="93"/>
      <c r="G18" s="104">
        <f t="shared" ref="G18:M18" si="0">SUM(G14:G17)</f>
        <v>0</v>
      </c>
      <c r="H18" s="104">
        <f t="shared" si="0"/>
        <v>75520572.22</v>
      </c>
      <c r="I18" s="104">
        <f t="shared" si="0"/>
        <v>0</v>
      </c>
      <c r="J18" s="104">
        <f t="shared" si="0"/>
        <v>37760286.11</v>
      </c>
      <c r="K18" s="104">
        <f t="shared" si="0"/>
        <v>9440071.5275</v>
      </c>
      <c r="L18" s="104">
        <f t="shared" si="0"/>
        <v>47200357.6375</v>
      </c>
      <c r="M18" s="104">
        <f t="shared" si="0"/>
        <v>28320214.5825</v>
      </c>
      <c r="N18" s="93"/>
      <c r="O18" s="108"/>
    </row>
    <row r="19" spans="3:15">
      <c r="C19" s="115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108"/>
    </row>
    <row r="20" spans="15:15">
      <c r="O20" s="108"/>
    </row>
    <row r="21" spans="15:15">
      <c r="O21" s="108"/>
    </row>
    <row r="22" spans="15:15">
      <c r="O22" s="108"/>
    </row>
    <row r="23" spans="15:15">
      <c r="O23" s="108"/>
    </row>
    <row r="24" spans="15:15">
      <c r="O24" s="108"/>
    </row>
    <row r="25" spans="15:15">
      <c r="O25" s="108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N19"/>
  <sheetViews>
    <sheetView zoomScale="76" zoomScaleNormal="76" topLeftCell="H1" workbookViewId="0">
      <selection activeCell="G28" sqref="G28"/>
    </sheetView>
  </sheetViews>
  <sheetFormatPr defaultColWidth="8.72727272727273" defaultRowHeight="14.5"/>
  <cols>
    <col min="3" max="14" width="17.0909090909091" customWidth="1"/>
  </cols>
  <sheetData>
    <row r="4" ht="15.25"/>
    <row r="5" spans="2:14">
      <c r="B5" s="90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107"/>
    </row>
    <row r="6" spans="2:14">
      <c r="B6" s="92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108"/>
    </row>
    <row r="7" ht="15.25" spans="2:14">
      <c r="B7" s="92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108"/>
    </row>
    <row r="8" spans="2:14">
      <c r="B8" s="92"/>
      <c r="C8" s="94">
        <v>0</v>
      </c>
      <c r="D8" s="91"/>
      <c r="E8" s="95"/>
      <c r="F8" s="95"/>
      <c r="G8" s="95"/>
      <c r="H8" s="95"/>
      <c r="I8" s="109">
        <v>0.5</v>
      </c>
      <c r="J8" s="109">
        <v>0.25</v>
      </c>
      <c r="K8" s="110"/>
      <c r="L8" s="110"/>
      <c r="M8" s="111">
        <v>3</v>
      </c>
      <c r="N8" s="108"/>
    </row>
    <row r="9" spans="2:14">
      <c r="B9" s="92"/>
      <c r="C9" s="96" t="s">
        <v>29</v>
      </c>
      <c r="D9" s="93"/>
      <c r="E9" s="97"/>
      <c r="F9" s="97"/>
      <c r="G9" s="97"/>
      <c r="H9" s="97"/>
      <c r="I9" s="97"/>
      <c r="J9" s="97"/>
      <c r="K9" s="97"/>
      <c r="L9" s="97"/>
      <c r="M9" s="108"/>
      <c r="N9" s="108"/>
    </row>
    <row r="10" ht="15.25" spans="2:14">
      <c r="B10" s="98" t="s">
        <v>1</v>
      </c>
      <c r="C10" s="99" t="s">
        <v>17</v>
      </c>
      <c r="D10" s="100" t="s">
        <v>18</v>
      </c>
      <c r="E10" s="100" t="s">
        <v>19</v>
      </c>
      <c r="F10" s="100" t="s">
        <v>3</v>
      </c>
      <c r="G10" s="100" t="s">
        <v>20</v>
      </c>
      <c r="H10" s="100" t="s">
        <v>5</v>
      </c>
      <c r="I10" s="100" t="s">
        <v>21</v>
      </c>
      <c r="J10" s="100" t="s">
        <v>22</v>
      </c>
      <c r="K10" s="100" t="s">
        <v>23</v>
      </c>
      <c r="L10" s="100" t="s">
        <v>9</v>
      </c>
      <c r="M10" s="112" t="s">
        <v>24</v>
      </c>
      <c r="N10" s="108"/>
    </row>
    <row r="11" spans="2:14">
      <c r="B11" s="92">
        <v>1</v>
      </c>
      <c r="C11" s="93">
        <v>0</v>
      </c>
      <c r="D11" s="93">
        <v>0</v>
      </c>
      <c r="E11" s="93">
        <v>0</v>
      </c>
      <c r="F11" s="101">
        <v>0</v>
      </c>
      <c r="G11" s="101"/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2">
        <v>0</v>
      </c>
      <c r="N11" s="108"/>
    </row>
    <row r="12" spans="2:14">
      <c r="B12" s="92">
        <v>2</v>
      </c>
      <c r="C12" s="93">
        <v>0</v>
      </c>
      <c r="D12" s="93">
        <v>0</v>
      </c>
      <c r="E12" s="93">
        <v>0</v>
      </c>
      <c r="F12" s="101">
        <v>0</v>
      </c>
      <c r="G12" s="101"/>
      <c r="H12" s="101">
        <v>0</v>
      </c>
      <c r="I12" s="101"/>
      <c r="J12" s="101">
        <v>0</v>
      </c>
      <c r="K12" s="101">
        <v>0</v>
      </c>
      <c r="L12" s="101">
        <v>0</v>
      </c>
      <c r="M12" s="102">
        <v>0</v>
      </c>
      <c r="N12" s="108"/>
    </row>
    <row r="13" spans="2:14">
      <c r="B13" s="92">
        <v>3</v>
      </c>
      <c r="C13" s="93">
        <v>0</v>
      </c>
      <c r="D13" s="93">
        <v>0</v>
      </c>
      <c r="E13" s="93">
        <v>0</v>
      </c>
      <c r="F13" s="101">
        <v>0</v>
      </c>
      <c r="G13" s="101"/>
      <c r="H13" s="101">
        <v>0</v>
      </c>
      <c r="I13" s="101"/>
      <c r="J13" s="101">
        <v>0</v>
      </c>
      <c r="K13" s="101">
        <v>0</v>
      </c>
      <c r="L13" s="101">
        <v>0</v>
      </c>
      <c r="M13" s="102">
        <v>0</v>
      </c>
      <c r="N13" s="108"/>
    </row>
    <row r="14" spans="2:14">
      <c r="B14" s="92">
        <v>4</v>
      </c>
      <c r="C14" s="93">
        <v>0</v>
      </c>
      <c r="D14" s="93">
        <v>2022</v>
      </c>
      <c r="E14" s="93">
        <v>4</v>
      </c>
      <c r="F14" s="101">
        <v>0</v>
      </c>
      <c r="G14" s="101">
        <v>675988355</v>
      </c>
      <c r="H14" s="101">
        <v>0</v>
      </c>
      <c r="I14" s="101">
        <f>G14*I8</f>
        <v>337994177.5</v>
      </c>
      <c r="J14" s="101">
        <f>(G14-I14)/4</f>
        <v>84498544.375</v>
      </c>
      <c r="K14" s="101">
        <f>I14+J14</f>
        <v>422492721.875</v>
      </c>
      <c r="L14" s="101">
        <f>G14-K14</f>
        <v>253495633.125</v>
      </c>
      <c r="M14" s="102">
        <v>3</v>
      </c>
      <c r="N14" s="108"/>
    </row>
    <row r="15" s="89" customFormat="1" spans="2:14">
      <c r="B15" s="92">
        <v>5</v>
      </c>
      <c r="C15" s="93">
        <v>0</v>
      </c>
      <c r="D15" s="102">
        <v>2023</v>
      </c>
      <c r="E15" s="102">
        <v>3</v>
      </c>
      <c r="F15" s="101">
        <f>L14</f>
        <v>253495633.125</v>
      </c>
      <c r="G15" s="101">
        <v>432394355.57</v>
      </c>
      <c r="H15" s="101">
        <v>0</v>
      </c>
      <c r="I15" s="101">
        <f>50%*G15</f>
        <v>216197177.785</v>
      </c>
      <c r="J15" s="101">
        <f>(G15-I15)/E15+(J14)</f>
        <v>156564270.303333</v>
      </c>
      <c r="K15" s="101">
        <f>I15+J15</f>
        <v>372761448.088333</v>
      </c>
      <c r="L15" s="101">
        <f>(F15+G15)-K15</f>
        <v>313128540.606667</v>
      </c>
      <c r="M15" s="93">
        <v>2</v>
      </c>
      <c r="N15" s="108"/>
    </row>
    <row r="16" spans="2:14">
      <c r="B16" s="92"/>
      <c r="C16" s="93"/>
      <c r="D16" s="102"/>
      <c r="E16" s="102"/>
      <c r="F16" s="103"/>
      <c r="G16" s="103"/>
      <c r="H16" s="103"/>
      <c r="I16" s="103"/>
      <c r="J16" s="103"/>
      <c r="K16" s="103"/>
      <c r="L16" s="103"/>
      <c r="M16" s="93"/>
      <c r="N16" s="108"/>
    </row>
    <row r="17" ht="15.25" spans="2:14">
      <c r="B17" s="92"/>
      <c r="C17" s="93"/>
      <c r="D17" s="102"/>
      <c r="E17" s="102"/>
      <c r="F17" s="104">
        <f t="shared" ref="F17:L17" si="0">SUM(F11:F14)</f>
        <v>0</v>
      </c>
      <c r="G17" s="104">
        <f t="shared" si="0"/>
        <v>675988355</v>
      </c>
      <c r="H17" s="104">
        <f t="shared" si="0"/>
        <v>0</v>
      </c>
      <c r="I17" s="104">
        <f t="shared" si="0"/>
        <v>337994177.5</v>
      </c>
      <c r="J17" s="104">
        <f t="shared" si="0"/>
        <v>84498544.375</v>
      </c>
      <c r="K17" s="104">
        <f t="shared" si="0"/>
        <v>422492721.875</v>
      </c>
      <c r="L17" s="104">
        <f t="shared" si="0"/>
        <v>253495633.125</v>
      </c>
      <c r="M17" s="93"/>
      <c r="N17" s="108"/>
    </row>
    <row r="18" spans="2:14">
      <c r="B18" s="92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108"/>
    </row>
    <row r="19" ht="15.25" spans="2:14">
      <c r="B19" s="105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13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132"/>
  <sheetViews>
    <sheetView topLeftCell="A128" workbookViewId="0">
      <selection activeCell="D12" sqref="D12"/>
    </sheetView>
  </sheetViews>
  <sheetFormatPr defaultColWidth="8.72727272727273" defaultRowHeight="14.5" outlineLevelCol="5"/>
  <cols>
    <col min="3" max="3" width="38.1818181818182" customWidth="1"/>
    <col min="4" max="6" width="23.2727272727273" customWidth="1"/>
    <col min="7" max="7" width="31.2727272727273" customWidth="1"/>
  </cols>
  <sheetData>
    <row r="2" ht="15.25"/>
    <row r="3" spans="2:6">
      <c r="B3" s="60"/>
      <c r="C3" s="61"/>
      <c r="D3" s="62"/>
      <c r="E3" s="62"/>
      <c r="F3" s="63"/>
    </row>
    <row r="4" spans="2:6">
      <c r="B4" s="64"/>
      <c r="C4" s="65"/>
      <c r="D4" s="66"/>
      <c r="E4" s="67"/>
      <c r="F4" s="68"/>
    </row>
    <row r="5" spans="2:6">
      <c r="B5" s="64"/>
      <c r="C5" s="69"/>
      <c r="D5" s="66"/>
      <c r="E5" s="67"/>
      <c r="F5" s="68"/>
    </row>
    <row r="6" spans="2:6">
      <c r="B6" s="64"/>
      <c r="C6" s="70">
        <v>0</v>
      </c>
      <c r="D6" s="71"/>
      <c r="E6" s="72">
        <v>1</v>
      </c>
      <c r="F6" s="68"/>
    </row>
    <row r="7" spans="2:6">
      <c r="B7" s="64"/>
      <c r="C7" s="70" t="s">
        <v>30</v>
      </c>
      <c r="D7" s="71"/>
      <c r="E7" s="71"/>
      <c r="F7" s="68"/>
    </row>
    <row r="8" spans="2:6">
      <c r="B8" s="64"/>
      <c r="C8" s="70"/>
      <c r="D8" s="73" t="s">
        <v>31</v>
      </c>
      <c r="E8" s="73" t="s">
        <v>31</v>
      </c>
      <c r="F8" s="68"/>
    </row>
    <row r="9" spans="2:6">
      <c r="B9" s="64"/>
      <c r="C9" s="74" t="s">
        <v>32</v>
      </c>
      <c r="D9" s="75"/>
      <c r="E9" s="75">
        <v>574675000</v>
      </c>
      <c r="F9" s="68"/>
    </row>
    <row r="10" spans="2:6">
      <c r="B10" s="64"/>
      <c r="C10" s="74"/>
      <c r="D10" s="75"/>
      <c r="E10" s="75"/>
      <c r="F10" s="68"/>
    </row>
    <row r="11" spans="2:6">
      <c r="B11" s="64"/>
      <c r="C11" s="70" t="s">
        <v>33</v>
      </c>
      <c r="D11" s="75"/>
      <c r="E11" s="75"/>
      <c r="F11" s="68"/>
    </row>
    <row r="12" spans="2:6">
      <c r="B12" s="64"/>
      <c r="C12" s="74" t="str">
        <f>'[2]INPUT 2'!B9</f>
        <v>Public Relations, Promotions &amp; Adverts</v>
      </c>
      <c r="D12" s="76">
        <v>249523411.8</v>
      </c>
      <c r="E12" s="75"/>
      <c r="F12" s="68"/>
    </row>
    <row r="13" spans="2:6">
      <c r="B13" s="64"/>
      <c r="C13" s="74" t="str">
        <f>'[2]INPUT 2'!B10</f>
        <v>Impairment charge</v>
      </c>
      <c r="D13" s="77">
        <f>'[2]INPUT 2'!C10</f>
        <v>0</v>
      </c>
      <c r="E13" s="75"/>
      <c r="F13" s="68"/>
    </row>
    <row r="14" spans="2:6">
      <c r="B14" s="64"/>
      <c r="C14" s="74" t="str">
        <f>'[2]INPUT 2'!B15</f>
        <v>Depreciation for Right of use</v>
      </c>
      <c r="D14" s="77">
        <f>'[2]INPUT 2'!C15</f>
        <v>15156000</v>
      </c>
      <c r="E14" s="75"/>
      <c r="F14" s="68"/>
    </row>
    <row r="15" spans="2:6">
      <c r="B15" s="64"/>
      <c r="C15" s="74" t="str">
        <f>'[2]INPUT 2'!B16</f>
        <v>Entertainment</v>
      </c>
      <c r="D15" s="77">
        <f>'[2]INPUT 2'!C16</f>
        <v>18957388.71</v>
      </c>
      <c r="E15" s="75"/>
      <c r="F15" s="68"/>
    </row>
    <row r="16" spans="2:6">
      <c r="B16" s="64"/>
      <c r="C16" s="74" t="str">
        <f>'[2]INPUT 2'!B17</f>
        <v>Loss on disposal of asset</v>
      </c>
      <c r="D16" s="77">
        <f>'[2]INPUT 2'!C17</f>
        <v>0</v>
      </c>
      <c r="E16" s="75"/>
      <c r="F16" s="68"/>
    </row>
    <row r="17" spans="2:6">
      <c r="B17" s="64"/>
      <c r="C17" s="74">
        <v>0</v>
      </c>
      <c r="D17" s="75">
        <v>0</v>
      </c>
      <c r="E17" s="75"/>
      <c r="F17" s="68"/>
    </row>
    <row r="18" spans="2:6">
      <c r="B18" s="64"/>
      <c r="C18" s="74">
        <v>0</v>
      </c>
      <c r="D18" s="75">
        <v>0</v>
      </c>
      <c r="E18" s="75"/>
      <c r="F18" s="68"/>
    </row>
    <row r="19" spans="2:6">
      <c r="B19" s="64"/>
      <c r="C19" s="74">
        <v>0</v>
      </c>
      <c r="D19" s="75">
        <v>0</v>
      </c>
      <c r="E19" s="75"/>
      <c r="F19" s="68"/>
    </row>
    <row r="20" spans="2:6">
      <c r="B20" s="64"/>
      <c r="C20" s="74">
        <v>0</v>
      </c>
      <c r="D20" s="75">
        <v>0</v>
      </c>
      <c r="E20" s="75"/>
      <c r="F20" s="68"/>
    </row>
    <row r="21" spans="2:6">
      <c r="B21" s="64"/>
      <c r="C21" s="74">
        <v>0</v>
      </c>
      <c r="D21" s="75">
        <v>0</v>
      </c>
      <c r="E21" s="75"/>
      <c r="F21" s="68"/>
    </row>
    <row r="22" spans="2:6">
      <c r="B22" s="64"/>
      <c r="C22" s="74">
        <v>0</v>
      </c>
      <c r="D22" s="75">
        <v>0</v>
      </c>
      <c r="E22" s="75"/>
      <c r="F22" s="68"/>
    </row>
    <row r="23" spans="2:6">
      <c r="B23" s="64"/>
      <c r="C23" s="74">
        <v>0</v>
      </c>
      <c r="D23" s="75">
        <v>0</v>
      </c>
      <c r="E23" s="75"/>
      <c r="F23" s="68"/>
    </row>
    <row r="24" spans="2:6">
      <c r="B24" s="64"/>
      <c r="C24" s="74">
        <v>0</v>
      </c>
      <c r="D24" s="75">
        <v>0</v>
      </c>
      <c r="E24" s="75"/>
      <c r="F24" s="68"/>
    </row>
    <row r="25" spans="2:6">
      <c r="B25" s="64"/>
      <c r="C25" s="74">
        <v>0</v>
      </c>
      <c r="D25" s="75">
        <v>0</v>
      </c>
      <c r="E25" s="75"/>
      <c r="F25" s="68"/>
    </row>
    <row r="26" spans="2:6">
      <c r="B26" s="64"/>
      <c r="C26" s="74">
        <v>0</v>
      </c>
      <c r="D26" s="75">
        <v>0</v>
      </c>
      <c r="E26" s="75"/>
      <c r="F26" s="68"/>
    </row>
    <row r="27" spans="2:6">
      <c r="B27" s="64"/>
      <c r="C27" s="74">
        <v>0</v>
      </c>
      <c r="D27" s="75">
        <v>0</v>
      </c>
      <c r="E27" s="75"/>
      <c r="F27" s="68"/>
    </row>
    <row r="28" spans="2:6">
      <c r="B28" s="64"/>
      <c r="C28" s="74">
        <v>0</v>
      </c>
      <c r="D28" s="75">
        <v>0</v>
      </c>
      <c r="E28" s="75"/>
      <c r="F28" s="68"/>
    </row>
    <row r="29" spans="2:6">
      <c r="B29" s="64"/>
      <c r="C29" s="74">
        <v>0</v>
      </c>
      <c r="D29" s="75">
        <v>0</v>
      </c>
      <c r="E29" s="75"/>
      <c r="F29" s="68"/>
    </row>
    <row r="30" spans="2:6">
      <c r="B30" s="64"/>
      <c r="C30" s="74">
        <v>0</v>
      </c>
      <c r="D30" s="75">
        <v>0</v>
      </c>
      <c r="E30" s="75"/>
      <c r="F30" s="68"/>
    </row>
    <row r="31" spans="2:6">
      <c r="B31" s="64"/>
      <c r="C31" s="74">
        <v>0</v>
      </c>
      <c r="D31" s="75">
        <v>0</v>
      </c>
      <c r="E31" s="75"/>
      <c r="F31" s="68"/>
    </row>
    <row r="32" spans="2:6">
      <c r="B32" s="64"/>
      <c r="C32" s="74">
        <v>0</v>
      </c>
      <c r="D32" s="75">
        <v>0</v>
      </c>
      <c r="E32" s="75"/>
      <c r="F32" s="68"/>
    </row>
    <row r="33" spans="2:6">
      <c r="B33" s="64"/>
      <c r="C33" s="74">
        <v>0</v>
      </c>
      <c r="D33" s="75">
        <v>0</v>
      </c>
      <c r="E33" s="75"/>
      <c r="F33" s="68"/>
    </row>
    <row r="34" spans="2:6">
      <c r="B34" s="64"/>
      <c r="C34" s="74">
        <v>0</v>
      </c>
      <c r="D34" s="75">
        <v>0</v>
      </c>
      <c r="E34" s="75"/>
      <c r="F34" s="68"/>
    </row>
    <row r="35" spans="2:6">
      <c r="B35" s="64"/>
      <c r="C35" s="74">
        <v>0</v>
      </c>
      <c r="D35" s="75">
        <v>0</v>
      </c>
      <c r="E35" s="75"/>
      <c r="F35" s="68"/>
    </row>
    <row r="36" spans="2:6">
      <c r="B36" s="64"/>
      <c r="C36" s="74">
        <v>0</v>
      </c>
      <c r="D36" s="75">
        <v>0</v>
      </c>
      <c r="E36" s="75"/>
      <c r="F36" s="68"/>
    </row>
    <row r="37" spans="2:6">
      <c r="B37" s="64"/>
      <c r="C37" s="74">
        <v>0</v>
      </c>
      <c r="D37" s="75">
        <v>0</v>
      </c>
      <c r="E37" s="75"/>
      <c r="F37" s="68"/>
    </row>
    <row r="38" spans="2:6">
      <c r="B38" s="64"/>
      <c r="C38" s="74">
        <v>0</v>
      </c>
      <c r="D38" s="75">
        <v>0</v>
      </c>
      <c r="E38" s="75"/>
      <c r="F38" s="68"/>
    </row>
    <row r="39" spans="2:6">
      <c r="B39" s="64"/>
      <c r="C39" s="74">
        <v>0</v>
      </c>
      <c r="D39" s="75">
        <v>0</v>
      </c>
      <c r="E39" s="75"/>
      <c r="F39" s="68"/>
    </row>
    <row r="40" spans="2:6">
      <c r="B40" s="64"/>
      <c r="C40" s="74">
        <v>0</v>
      </c>
      <c r="D40" s="75">
        <v>0</v>
      </c>
      <c r="E40" s="75"/>
      <c r="F40" s="68"/>
    </row>
    <row r="41" spans="2:6">
      <c r="B41" s="64"/>
      <c r="C41" s="74">
        <v>0</v>
      </c>
      <c r="D41" s="75">
        <v>0</v>
      </c>
      <c r="E41" s="75"/>
      <c r="F41" s="68"/>
    </row>
    <row r="42" spans="2:6">
      <c r="B42" s="64"/>
      <c r="C42" s="74">
        <v>0</v>
      </c>
      <c r="D42" s="75">
        <v>0</v>
      </c>
      <c r="E42" s="75"/>
      <c r="F42" s="68"/>
    </row>
    <row r="43" spans="2:6">
      <c r="B43" s="64"/>
      <c r="C43" s="74">
        <v>0</v>
      </c>
      <c r="D43" s="75">
        <v>0</v>
      </c>
      <c r="E43" s="75"/>
      <c r="F43" s="68"/>
    </row>
    <row r="44" spans="2:6">
      <c r="B44" s="64"/>
      <c r="C44" s="74">
        <v>0</v>
      </c>
      <c r="D44" s="75">
        <v>0</v>
      </c>
      <c r="E44" s="75"/>
      <c r="F44" s="68"/>
    </row>
    <row r="45" spans="2:6">
      <c r="B45" s="64"/>
      <c r="C45" s="74">
        <v>0</v>
      </c>
      <c r="D45" s="75">
        <v>0</v>
      </c>
      <c r="E45" s="75"/>
      <c r="F45" s="68"/>
    </row>
    <row r="46" spans="2:6">
      <c r="B46" s="64"/>
      <c r="C46" s="74">
        <v>0</v>
      </c>
      <c r="D46" s="75">
        <v>0</v>
      </c>
      <c r="E46" s="78"/>
      <c r="F46" s="68"/>
    </row>
    <row r="47" spans="2:6">
      <c r="B47" s="64"/>
      <c r="C47" s="79" t="s">
        <v>34</v>
      </c>
      <c r="D47" s="75"/>
      <c r="E47" s="75">
        <f>SUM(D12:D46)</f>
        <v>283636800.51</v>
      </c>
      <c r="F47" s="68"/>
    </row>
    <row r="48" spans="2:6">
      <c r="B48" s="64"/>
      <c r="C48" s="80" t="s">
        <v>35</v>
      </c>
      <c r="D48" s="75"/>
      <c r="E48" s="75">
        <f>SUM(E9:E47)</f>
        <v>858311800.51</v>
      </c>
      <c r="F48" s="68"/>
    </row>
    <row r="49" spans="2:6">
      <c r="B49" s="64"/>
      <c r="C49" s="70">
        <v>0</v>
      </c>
      <c r="D49" s="75"/>
      <c r="E49" s="75"/>
      <c r="F49" s="68"/>
    </row>
    <row r="50" spans="2:6">
      <c r="B50" s="64"/>
      <c r="C50" s="74" t="str">
        <f>'[2]INPUT 2'!B54</f>
        <v>Impairment write back</v>
      </c>
      <c r="D50" s="77">
        <f>'[2]INPUT 2'!C54</f>
        <v>0</v>
      </c>
      <c r="E50" s="75"/>
      <c r="F50" s="68"/>
    </row>
    <row r="51" spans="2:6">
      <c r="B51" s="64"/>
      <c r="C51" s="74">
        <v>0</v>
      </c>
      <c r="D51" s="75">
        <v>0</v>
      </c>
      <c r="E51" s="75"/>
      <c r="F51" s="68"/>
    </row>
    <row r="52" spans="2:6">
      <c r="B52" s="64"/>
      <c r="C52" s="74">
        <v>0</v>
      </c>
      <c r="D52" s="75">
        <v>0</v>
      </c>
      <c r="E52" s="75"/>
      <c r="F52" s="68"/>
    </row>
    <row r="53" spans="2:6">
      <c r="B53" s="64"/>
      <c r="C53" s="74">
        <v>0</v>
      </c>
      <c r="D53" s="75">
        <v>0</v>
      </c>
      <c r="E53" s="75"/>
      <c r="F53" s="68"/>
    </row>
    <row r="54" spans="2:6">
      <c r="B54" s="64"/>
      <c r="C54" s="74">
        <v>0</v>
      </c>
      <c r="D54" s="75">
        <v>0</v>
      </c>
      <c r="E54" s="75"/>
      <c r="F54" s="68"/>
    </row>
    <row r="55" spans="2:6">
      <c r="B55" s="64"/>
      <c r="C55" s="74">
        <v>0</v>
      </c>
      <c r="D55" s="75">
        <v>0</v>
      </c>
      <c r="E55" s="75"/>
      <c r="F55" s="68"/>
    </row>
    <row r="56" spans="2:6">
      <c r="B56" s="64"/>
      <c r="C56" s="74">
        <v>0</v>
      </c>
      <c r="D56" s="75">
        <v>0</v>
      </c>
      <c r="E56" s="75"/>
      <c r="F56" s="68"/>
    </row>
    <row r="57" spans="2:6">
      <c r="B57" s="64"/>
      <c r="C57" s="74">
        <v>0</v>
      </c>
      <c r="D57" s="75">
        <v>0</v>
      </c>
      <c r="E57" s="75"/>
      <c r="F57" s="68"/>
    </row>
    <row r="58" spans="2:6">
      <c r="B58" s="64"/>
      <c r="C58" s="74">
        <v>0</v>
      </c>
      <c r="D58" s="75">
        <v>0</v>
      </c>
      <c r="E58" s="75"/>
      <c r="F58" s="68"/>
    </row>
    <row r="59" spans="2:6">
      <c r="B59" s="64"/>
      <c r="C59" s="74">
        <v>0</v>
      </c>
      <c r="D59" s="75">
        <v>0</v>
      </c>
      <c r="E59" s="75"/>
      <c r="F59" s="68"/>
    </row>
    <row r="60" spans="2:6">
      <c r="B60" s="64"/>
      <c r="C60" s="74">
        <v>0</v>
      </c>
      <c r="D60" s="75">
        <v>0</v>
      </c>
      <c r="E60" s="75"/>
      <c r="F60" s="68"/>
    </row>
    <row r="61" spans="2:6">
      <c r="B61" s="64"/>
      <c r="C61" s="74">
        <v>0</v>
      </c>
      <c r="D61" s="75">
        <v>0</v>
      </c>
      <c r="E61" s="75"/>
      <c r="F61" s="68"/>
    </row>
    <row r="62" spans="2:6">
      <c r="B62" s="64"/>
      <c r="C62" s="74">
        <v>0</v>
      </c>
      <c r="D62" s="75">
        <v>0</v>
      </c>
      <c r="E62" s="75"/>
      <c r="F62" s="68"/>
    </row>
    <row r="63" spans="2:6">
      <c r="B63" s="64"/>
      <c r="C63" s="74">
        <v>0</v>
      </c>
      <c r="D63" s="75">
        <v>0</v>
      </c>
      <c r="E63" s="75"/>
      <c r="F63" s="68"/>
    </row>
    <row r="64" spans="2:6">
      <c r="B64" s="64"/>
      <c r="C64" s="74">
        <v>0</v>
      </c>
      <c r="D64" s="75">
        <v>0</v>
      </c>
      <c r="E64" s="75"/>
      <c r="F64" s="68"/>
    </row>
    <row r="65" spans="2:6">
      <c r="B65" s="64"/>
      <c r="C65" s="74">
        <v>0</v>
      </c>
      <c r="D65" s="75">
        <v>0</v>
      </c>
      <c r="E65" s="75"/>
      <c r="F65" s="68"/>
    </row>
    <row r="66" spans="2:6">
      <c r="B66" s="64"/>
      <c r="C66" s="74">
        <v>0</v>
      </c>
      <c r="D66" s="75">
        <v>0</v>
      </c>
      <c r="E66" s="75"/>
      <c r="F66" s="68"/>
    </row>
    <row r="67" spans="2:6">
      <c r="B67" s="64"/>
      <c r="C67" s="74">
        <v>0</v>
      </c>
      <c r="D67" s="75">
        <v>0</v>
      </c>
      <c r="E67" s="75"/>
      <c r="F67" s="68"/>
    </row>
    <row r="68" spans="2:6">
      <c r="B68" s="64"/>
      <c r="C68" s="74">
        <v>0</v>
      </c>
      <c r="D68" s="75">
        <v>0</v>
      </c>
      <c r="E68" s="75"/>
      <c r="F68" s="68"/>
    </row>
    <row r="69" spans="2:6">
      <c r="B69" s="64"/>
      <c r="C69" s="74">
        <v>0</v>
      </c>
      <c r="D69" s="75">
        <v>0</v>
      </c>
      <c r="E69" s="75"/>
      <c r="F69" s="68"/>
    </row>
    <row r="70" spans="2:6">
      <c r="B70" s="64"/>
      <c r="C70" s="74">
        <v>0</v>
      </c>
      <c r="D70" s="75">
        <v>0</v>
      </c>
      <c r="E70" s="75"/>
      <c r="F70" s="68"/>
    </row>
    <row r="71" spans="2:6">
      <c r="B71" s="64"/>
      <c r="C71" s="74">
        <v>0</v>
      </c>
      <c r="D71" s="75">
        <v>0</v>
      </c>
      <c r="E71" s="75"/>
      <c r="F71" s="68"/>
    </row>
    <row r="72" spans="2:6">
      <c r="B72" s="64"/>
      <c r="C72" s="74">
        <v>0</v>
      </c>
      <c r="D72" s="75">
        <v>0</v>
      </c>
      <c r="E72" s="75"/>
      <c r="F72" s="68"/>
    </row>
    <row r="73" spans="2:6">
      <c r="B73" s="64"/>
      <c r="C73" s="74">
        <v>0</v>
      </c>
      <c r="D73" s="75">
        <v>0</v>
      </c>
      <c r="E73" s="75"/>
      <c r="F73" s="68"/>
    </row>
    <row r="74" spans="2:6">
      <c r="B74" s="64"/>
      <c r="C74" s="74">
        <v>0</v>
      </c>
      <c r="D74" s="75">
        <v>0</v>
      </c>
      <c r="E74" s="75"/>
      <c r="F74" s="68"/>
    </row>
    <row r="75" spans="2:6">
      <c r="B75" s="64"/>
      <c r="C75" s="74">
        <v>0</v>
      </c>
      <c r="D75" s="75">
        <v>0</v>
      </c>
      <c r="E75" s="75"/>
      <c r="F75" s="68"/>
    </row>
    <row r="76" spans="2:6">
      <c r="B76" s="64"/>
      <c r="C76" s="74">
        <v>0</v>
      </c>
      <c r="D76" s="75">
        <v>0</v>
      </c>
      <c r="E76" s="75"/>
      <c r="F76" s="68"/>
    </row>
    <row r="77" spans="2:6">
      <c r="B77" s="64"/>
      <c r="C77" s="74">
        <v>0</v>
      </c>
      <c r="D77" s="75">
        <v>0</v>
      </c>
      <c r="E77" s="75"/>
      <c r="F77" s="68"/>
    </row>
    <row r="78" spans="2:6">
      <c r="B78" s="64"/>
      <c r="C78" s="74">
        <v>0</v>
      </c>
      <c r="D78" s="75">
        <v>0</v>
      </c>
      <c r="E78" s="75"/>
      <c r="F78" s="68"/>
    </row>
    <row r="79" spans="2:6">
      <c r="B79" s="64"/>
      <c r="C79" s="74">
        <v>0</v>
      </c>
      <c r="D79" s="75">
        <v>0</v>
      </c>
      <c r="E79" s="75"/>
      <c r="F79" s="68"/>
    </row>
    <row r="80" spans="2:6">
      <c r="B80" s="64"/>
      <c r="C80" s="74">
        <v>0</v>
      </c>
      <c r="D80" s="75">
        <v>0</v>
      </c>
      <c r="E80" s="75"/>
      <c r="F80" s="68"/>
    </row>
    <row r="81" spans="2:6">
      <c r="B81" s="64"/>
      <c r="C81" s="74">
        <v>0</v>
      </c>
      <c r="D81" s="75">
        <v>0</v>
      </c>
      <c r="E81" s="75"/>
      <c r="F81" s="68"/>
    </row>
    <row r="82" spans="2:6">
      <c r="B82" s="64"/>
      <c r="C82" s="74">
        <v>0</v>
      </c>
      <c r="D82" s="75">
        <v>0</v>
      </c>
      <c r="E82" s="75"/>
      <c r="F82" s="68"/>
    </row>
    <row r="83" spans="2:6">
      <c r="B83" s="64"/>
      <c r="C83" s="74">
        <v>0</v>
      </c>
      <c r="D83" s="75">
        <v>0</v>
      </c>
      <c r="E83" s="75"/>
      <c r="F83" s="68"/>
    </row>
    <row r="84" spans="2:6">
      <c r="B84" s="64"/>
      <c r="C84" s="74">
        <v>0</v>
      </c>
      <c r="D84" s="75">
        <v>0</v>
      </c>
      <c r="E84" s="75"/>
      <c r="F84" s="68"/>
    </row>
    <row r="85" spans="2:6">
      <c r="B85" s="64"/>
      <c r="C85" s="74">
        <v>0</v>
      </c>
      <c r="D85" s="75">
        <v>0</v>
      </c>
      <c r="E85" s="78"/>
      <c r="F85" s="68"/>
    </row>
    <row r="86" spans="2:6">
      <c r="B86" s="64"/>
      <c r="C86" s="74" t="s">
        <v>36</v>
      </c>
      <c r="D86" s="75"/>
      <c r="E86" s="75">
        <f>-SUM(D50:D85)</f>
        <v>0</v>
      </c>
      <c r="F86" s="68"/>
    </row>
    <row r="87" spans="2:6">
      <c r="B87" s="64"/>
      <c r="C87" s="74" t="s">
        <v>35</v>
      </c>
      <c r="D87" s="75"/>
      <c r="E87" s="71">
        <f>SUM(E48:E86)</f>
        <v>858311800.51</v>
      </c>
      <c r="F87" s="68"/>
    </row>
    <row r="88" spans="2:6">
      <c r="B88" s="64"/>
      <c r="C88" s="74">
        <v>0</v>
      </c>
      <c r="D88" s="75"/>
      <c r="E88" s="75">
        <v>0</v>
      </c>
      <c r="F88" s="68"/>
    </row>
    <row r="89" spans="2:6">
      <c r="B89" s="64"/>
      <c r="C89" s="70" t="s">
        <v>37</v>
      </c>
      <c r="D89" s="75"/>
      <c r="E89" s="75">
        <f>SUM(E87:E88)</f>
        <v>858311800.51</v>
      </c>
      <c r="F89" s="68"/>
    </row>
    <row r="90" spans="2:6">
      <c r="B90" s="64"/>
      <c r="C90" s="74" t="s">
        <v>38</v>
      </c>
      <c r="D90" s="75"/>
      <c r="E90" s="75">
        <v>0</v>
      </c>
      <c r="F90" s="68"/>
    </row>
    <row r="91" spans="2:6">
      <c r="B91" s="64"/>
      <c r="C91" s="74"/>
      <c r="D91" s="75"/>
      <c r="E91" s="75">
        <v>0</v>
      </c>
      <c r="F91" s="68"/>
    </row>
    <row r="92" spans="2:6">
      <c r="B92" s="64"/>
      <c r="C92" s="70" t="s">
        <v>39</v>
      </c>
      <c r="D92" s="75"/>
      <c r="E92" s="75"/>
      <c r="F92" s="68"/>
    </row>
    <row r="93" spans="2:6">
      <c r="B93" s="64"/>
      <c r="C93" s="74" t="s">
        <v>40</v>
      </c>
      <c r="D93" s="75">
        <v>0</v>
      </c>
      <c r="E93" s="75"/>
      <c r="F93" s="68"/>
    </row>
    <row r="94" spans="2:6">
      <c r="B94" s="64"/>
      <c r="C94" s="74" t="s">
        <v>41</v>
      </c>
      <c r="D94" s="75">
        <f>E89</f>
        <v>858311800.51</v>
      </c>
      <c r="E94" s="75"/>
      <c r="F94" s="68"/>
    </row>
    <row r="95" spans="2:6">
      <c r="B95" s="64"/>
      <c r="C95" s="74"/>
      <c r="D95" s="75">
        <f>SUM(D93:D94)</f>
        <v>858311800.51</v>
      </c>
      <c r="E95" s="75"/>
      <c r="F95" s="68"/>
    </row>
    <row r="96" spans="2:6">
      <c r="B96" s="64"/>
      <c r="C96" s="74" t="s">
        <v>42</v>
      </c>
      <c r="D96" s="75">
        <v>0</v>
      </c>
      <c r="E96" s="75">
        <v>0</v>
      </c>
      <c r="F96" s="68"/>
    </row>
    <row r="97" spans="2:6">
      <c r="B97" s="64"/>
      <c r="C97" s="70" t="s">
        <v>43</v>
      </c>
      <c r="D97" s="75">
        <f>SUM(D95:D96)</f>
        <v>858311800.51</v>
      </c>
      <c r="E97" s="75"/>
      <c r="F97" s="68"/>
    </row>
    <row r="98" spans="2:6">
      <c r="B98" s="64"/>
      <c r="C98" s="74"/>
      <c r="D98" s="75"/>
      <c r="E98" s="75">
        <v>0</v>
      </c>
      <c r="F98" s="68"/>
    </row>
    <row r="99" spans="2:6">
      <c r="B99" s="64"/>
      <c r="C99" s="74"/>
      <c r="D99" s="75"/>
      <c r="E99" s="75"/>
      <c r="F99" s="68"/>
    </row>
    <row r="100" spans="2:6">
      <c r="B100" s="64"/>
      <c r="C100" s="74"/>
      <c r="D100" s="75"/>
      <c r="E100" s="75"/>
      <c r="F100" s="68"/>
    </row>
    <row r="101" spans="2:6">
      <c r="B101" s="64"/>
      <c r="C101" s="74"/>
      <c r="D101" s="75"/>
      <c r="E101" s="75"/>
      <c r="F101" s="68"/>
    </row>
    <row r="102" spans="2:6">
      <c r="B102" s="64"/>
      <c r="C102" s="70" t="s">
        <v>44</v>
      </c>
      <c r="D102" s="75"/>
      <c r="E102" s="75"/>
      <c r="F102" s="68"/>
    </row>
    <row r="103" spans="2:6">
      <c r="B103" s="64"/>
      <c r="C103" s="74" t="s">
        <v>45</v>
      </c>
      <c r="D103" s="75">
        <v>0</v>
      </c>
      <c r="E103" s="75"/>
      <c r="F103" s="68"/>
    </row>
    <row r="104" spans="2:6">
      <c r="B104" s="64"/>
      <c r="C104" s="74" t="s">
        <v>46</v>
      </c>
      <c r="D104" s="75">
        <f>'[2]CA SUMMARY'!L16</f>
        <v>0</v>
      </c>
      <c r="E104" s="75"/>
      <c r="F104" s="68"/>
    </row>
    <row r="105" spans="2:6">
      <c r="B105" s="64"/>
      <c r="C105" s="74" t="s">
        <v>47</v>
      </c>
      <c r="D105" s="75">
        <v>0</v>
      </c>
      <c r="E105" s="75"/>
      <c r="F105" s="68"/>
    </row>
    <row r="106" spans="2:6">
      <c r="B106" s="64"/>
      <c r="C106" s="74"/>
      <c r="D106" s="75">
        <f>SUM(D103:D105)</f>
        <v>0</v>
      </c>
      <c r="E106" s="75"/>
      <c r="F106" s="68"/>
    </row>
    <row r="107" spans="2:6">
      <c r="B107" s="64"/>
      <c r="C107" s="74" t="s">
        <v>48</v>
      </c>
      <c r="D107" s="75">
        <v>0</v>
      </c>
      <c r="E107" s="75"/>
      <c r="F107" s="68"/>
    </row>
    <row r="108" spans="2:6">
      <c r="B108" s="64"/>
      <c r="C108" s="74" t="s">
        <v>49</v>
      </c>
      <c r="D108" s="75">
        <v>0</v>
      </c>
      <c r="E108" s="75">
        <v>0</v>
      </c>
      <c r="F108" s="68"/>
    </row>
    <row r="109" spans="2:6">
      <c r="B109" s="64"/>
      <c r="C109" s="70" t="s">
        <v>50</v>
      </c>
      <c r="D109" s="71">
        <f>SUM(D106:D108)</f>
        <v>0</v>
      </c>
      <c r="E109" s="75"/>
      <c r="F109" s="68"/>
    </row>
    <row r="110" spans="2:6">
      <c r="B110" s="64"/>
      <c r="C110" s="74"/>
      <c r="D110" s="75"/>
      <c r="E110" s="75"/>
      <c r="F110" s="68"/>
    </row>
    <row r="111" spans="2:6">
      <c r="B111" s="64"/>
      <c r="C111" s="70" t="s">
        <v>51</v>
      </c>
      <c r="D111" s="75"/>
      <c r="E111" s="75">
        <f>SUM(E89:E110)</f>
        <v>858311800.51</v>
      </c>
      <c r="F111" s="68"/>
    </row>
    <row r="112" spans="2:6">
      <c r="B112" s="64"/>
      <c r="C112" s="74"/>
      <c r="D112" s="75"/>
      <c r="E112" s="75"/>
      <c r="F112" s="68"/>
    </row>
    <row r="113" spans="2:6">
      <c r="B113" s="64"/>
      <c r="C113" s="74" t="s">
        <v>52</v>
      </c>
      <c r="D113" s="75">
        <f>IF(E111&gt;0,30%*E111,0)</f>
        <v>257493540.153</v>
      </c>
      <c r="E113" s="75">
        <v>0</v>
      </c>
      <c r="F113" s="68"/>
    </row>
    <row r="114" spans="2:6">
      <c r="B114" s="64"/>
      <c r="C114" s="74" t="s">
        <v>53</v>
      </c>
      <c r="D114" s="75">
        <v>0</v>
      </c>
      <c r="E114" s="75"/>
      <c r="F114" s="68"/>
    </row>
    <row r="115" spans="2:6">
      <c r="B115" s="64"/>
      <c r="C115" s="74" t="s">
        <v>54</v>
      </c>
      <c r="D115" s="75">
        <v>0</v>
      </c>
      <c r="E115" s="75"/>
      <c r="F115" s="68"/>
    </row>
    <row r="116" spans="2:6">
      <c r="B116" s="64"/>
      <c r="C116" s="74"/>
      <c r="D116" s="75"/>
      <c r="E116" s="75"/>
      <c r="F116" s="68"/>
    </row>
    <row r="117" spans="2:6">
      <c r="B117" s="64"/>
      <c r="C117" s="74" t="s">
        <v>55</v>
      </c>
      <c r="D117" s="75"/>
      <c r="E117" s="75">
        <f>IF(E89&lt;0,0,2.5%*E89)</f>
        <v>21457795.01275</v>
      </c>
      <c r="F117" s="68"/>
    </row>
    <row r="118" spans="2:6">
      <c r="B118" s="64"/>
      <c r="C118" s="74"/>
      <c r="D118" s="75"/>
      <c r="E118" s="75"/>
      <c r="F118" s="68"/>
    </row>
    <row r="119" spans="2:6">
      <c r="B119" s="64"/>
      <c r="C119" s="74" t="s">
        <v>56</v>
      </c>
      <c r="D119" s="75"/>
      <c r="E119" s="75">
        <f>IF(E9&gt;0,1%*E9,0)</f>
        <v>5746750</v>
      </c>
      <c r="F119" s="68"/>
    </row>
    <row r="120" spans="2:6">
      <c r="B120" s="64"/>
      <c r="C120" s="74"/>
      <c r="D120" s="75"/>
      <c r="E120" s="75"/>
      <c r="F120" s="68"/>
    </row>
    <row r="121" spans="2:6">
      <c r="B121" s="64"/>
      <c r="C121" s="74" t="s">
        <v>57</v>
      </c>
      <c r="D121" s="75"/>
      <c r="E121" s="75">
        <f>IF(E9&gt;0,0.0005%*E9,0)</f>
        <v>2873.375</v>
      </c>
      <c r="F121" s="68"/>
    </row>
    <row r="122" spans="2:6">
      <c r="B122" s="64"/>
      <c r="C122" s="74"/>
      <c r="D122" s="75"/>
      <c r="E122" s="75"/>
      <c r="F122" s="68"/>
    </row>
    <row r="123" spans="2:6">
      <c r="B123" s="64"/>
      <c r="C123" s="74" t="s">
        <v>58</v>
      </c>
      <c r="D123" s="75"/>
      <c r="E123" s="75">
        <v>0</v>
      </c>
      <c r="F123" s="68"/>
    </row>
    <row r="124" spans="2:6">
      <c r="B124" s="64"/>
      <c r="C124" s="74"/>
      <c r="D124" s="75"/>
      <c r="E124" s="75"/>
      <c r="F124" s="68"/>
    </row>
    <row r="125" spans="2:6">
      <c r="B125" s="64"/>
      <c r="C125" s="70" t="s">
        <v>59</v>
      </c>
      <c r="D125" s="75"/>
      <c r="E125" s="71">
        <f>SUM(E112:E124)</f>
        <v>27207418.38775</v>
      </c>
      <c r="F125" s="68"/>
    </row>
    <row r="126" ht="15.25" spans="2:6">
      <c r="B126" s="81"/>
      <c r="C126" s="74"/>
      <c r="D126" s="75"/>
      <c r="E126" s="75"/>
      <c r="F126" s="82"/>
    </row>
    <row r="127" spans="2:6">
      <c r="B127" s="64"/>
      <c r="C127" s="74" t="s">
        <v>60</v>
      </c>
      <c r="D127" s="75"/>
      <c r="E127" s="75">
        <v>46</v>
      </c>
      <c r="F127" s="68"/>
    </row>
    <row r="128" spans="2:6">
      <c r="B128" s="64"/>
      <c r="C128" s="83"/>
      <c r="D128" s="66"/>
      <c r="E128" s="66"/>
      <c r="F128" s="68"/>
    </row>
    <row r="129" ht="15.25" spans="2:6">
      <c r="B129" s="64"/>
      <c r="C129" s="84" t="s">
        <v>61</v>
      </c>
      <c r="D129" s="66"/>
      <c r="E129" s="85">
        <v>46</v>
      </c>
      <c r="F129" s="68"/>
    </row>
    <row r="130" spans="2:6">
      <c r="B130" s="64"/>
      <c r="C130" s="83"/>
      <c r="D130" s="66"/>
      <c r="E130" s="66"/>
      <c r="F130" s="68"/>
    </row>
    <row r="131" spans="2:6">
      <c r="B131" s="64"/>
      <c r="C131" s="83" t="s">
        <v>62</v>
      </c>
      <c r="D131" s="66"/>
      <c r="E131" s="86">
        <v>50000</v>
      </c>
      <c r="F131" s="68"/>
    </row>
    <row r="132" ht="15.25" spans="2:6">
      <c r="B132" s="81"/>
      <c r="C132" s="87"/>
      <c r="D132" s="88"/>
      <c r="E132" s="88"/>
      <c r="F132" s="82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134"/>
  <sheetViews>
    <sheetView topLeftCell="A125" workbookViewId="0">
      <selection activeCell="B14" sqref="B14"/>
    </sheetView>
  </sheetViews>
  <sheetFormatPr defaultColWidth="8.72727272727273" defaultRowHeight="14.5" outlineLevelCol="3"/>
  <cols>
    <col min="2" max="2" width="42.1818181818182" customWidth="1"/>
    <col min="3" max="3" width="37.5454545454545" customWidth="1"/>
    <col min="4" max="4" width="24.3636363636364" customWidth="1"/>
  </cols>
  <sheetData>
    <row r="2" ht="15.25"/>
    <row r="3" ht="15.25" spans="2:4">
      <c r="B3" s="1" t="s">
        <v>63</v>
      </c>
      <c r="C3" s="2"/>
      <c r="D3" s="3"/>
    </row>
    <row r="4" ht="15.25" spans="2:4">
      <c r="B4" s="4" t="s">
        <v>64</v>
      </c>
      <c r="C4" s="5" t="s">
        <v>31</v>
      </c>
      <c r="D4" s="3"/>
    </row>
    <row r="5" ht="15.25" spans="2:4">
      <c r="B5" s="6" t="s">
        <v>65</v>
      </c>
      <c r="C5" s="7">
        <v>574675000</v>
      </c>
      <c r="D5" s="8"/>
    </row>
    <row r="6" ht="15.25" spans="2:4">
      <c r="B6" s="9"/>
      <c r="C6" s="10"/>
      <c r="D6" s="8"/>
    </row>
    <row r="7" spans="2:4">
      <c r="B7" s="11" t="s">
        <v>66</v>
      </c>
      <c r="C7" s="12"/>
      <c r="D7" s="13"/>
    </row>
    <row r="8" spans="2:4">
      <c r="B8" s="14" t="s">
        <v>67</v>
      </c>
      <c r="C8" s="15"/>
      <c r="D8" s="13"/>
    </row>
    <row r="9" spans="2:4">
      <c r="B9" s="16" t="s">
        <v>68</v>
      </c>
      <c r="C9" s="17">
        <v>485911712.22</v>
      </c>
      <c r="D9" s="13"/>
    </row>
    <row r="10" spans="2:4">
      <c r="B10" s="16" t="s">
        <v>69</v>
      </c>
      <c r="C10" s="18">
        <v>249523411.8</v>
      </c>
      <c r="D10" s="19">
        <v>249523411.8</v>
      </c>
    </row>
    <row r="11" spans="2:4">
      <c r="B11" s="16" t="s">
        <v>70</v>
      </c>
      <c r="C11" s="17">
        <v>0</v>
      </c>
      <c r="D11" s="13"/>
    </row>
    <row r="12" spans="2:4">
      <c r="B12" s="20" t="s">
        <v>71</v>
      </c>
      <c r="C12" s="21"/>
      <c r="D12" s="13"/>
    </row>
    <row r="13" spans="2:4">
      <c r="B13" s="16" t="s">
        <v>72</v>
      </c>
      <c r="C13" s="17"/>
      <c r="D13" s="13"/>
    </row>
    <row r="14" spans="2:4">
      <c r="B14" s="22" t="s">
        <v>73</v>
      </c>
      <c r="C14" s="23">
        <v>0</v>
      </c>
      <c r="D14" s="13"/>
    </row>
    <row r="15" spans="2:4">
      <c r="B15" s="16" t="s">
        <v>74</v>
      </c>
      <c r="C15" s="17"/>
      <c r="D15" s="13"/>
    </row>
    <row r="16" spans="2:4">
      <c r="B16" s="24" t="s">
        <v>75</v>
      </c>
      <c r="C16" s="23">
        <v>96964337.39</v>
      </c>
      <c r="D16" s="13"/>
    </row>
    <row r="17" spans="2:4">
      <c r="B17" s="22" t="s">
        <v>76</v>
      </c>
      <c r="C17" s="23"/>
      <c r="D17" s="13"/>
    </row>
    <row r="18" spans="2:4">
      <c r="B18" s="16" t="s">
        <v>77</v>
      </c>
      <c r="C18" s="17"/>
      <c r="D18" s="13"/>
    </row>
    <row r="19" spans="2:4">
      <c r="B19" s="25"/>
      <c r="C19" s="17"/>
      <c r="D19" s="13"/>
    </row>
    <row r="20" spans="2:4">
      <c r="B20" s="22"/>
      <c r="C20" s="23"/>
      <c r="D20" s="13"/>
    </row>
    <row r="21" spans="2:4">
      <c r="B21" s="22"/>
      <c r="C21" s="23"/>
      <c r="D21" s="13"/>
    </row>
    <row r="22" spans="2:4">
      <c r="B22" s="22"/>
      <c r="C22" s="23"/>
      <c r="D22" s="13"/>
    </row>
    <row r="23" spans="2:4">
      <c r="B23" s="22"/>
      <c r="C23" s="23"/>
      <c r="D23" s="13"/>
    </row>
    <row r="24" spans="2:4">
      <c r="B24" s="22"/>
      <c r="C24" s="23"/>
      <c r="D24" s="13"/>
    </row>
    <row r="25" spans="2:4">
      <c r="B25" s="22"/>
      <c r="C25" s="23"/>
      <c r="D25" s="13"/>
    </row>
    <row r="26" spans="2:4">
      <c r="B26" s="22"/>
      <c r="C26" s="23"/>
      <c r="D26" s="13"/>
    </row>
    <row r="27" spans="2:4">
      <c r="B27" s="22"/>
      <c r="C27" s="23"/>
      <c r="D27" s="13"/>
    </row>
    <row r="28" spans="2:4">
      <c r="B28" s="22"/>
      <c r="C28" s="23"/>
      <c r="D28" s="13"/>
    </row>
    <row r="29" spans="2:4">
      <c r="B29" s="22"/>
      <c r="C29" s="23"/>
      <c r="D29" s="13"/>
    </row>
    <row r="30" spans="2:4">
      <c r="B30" s="22"/>
      <c r="C30" s="23"/>
      <c r="D30" s="13"/>
    </row>
    <row r="31" spans="2:4">
      <c r="B31" s="22"/>
      <c r="C31" s="23"/>
      <c r="D31" s="13"/>
    </row>
    <row r="32" spans="2:4">
      <c r="B32" s="26" t="s">
        <v>78</v>
      </c>
      <c r="C32" s="27" t="e">
        <f>IF(C103&gt;0,C103,'[1]DISALLOWABLE COST OF EXEMPT INC'!C16)</f>
        <v>#REF!</v>
      </c>
      <c r="D32" s="13"/>
    </row>
    <row r="33" spans="2:4">
      <c r="B33" s="26" t="e">
        <f>IF('[1]INPUT 1'!B17="YES",'[1]RELATED PARTY LOAN'!C18,0)</f>
        <v>#REF!</v>
      </c>
      <c r="C33" s="27" t="e">
        <f>IF('[1]INPUT 1'!B17="YES",'[2]INPUT 2'!B132,0)</f>
        <v>#REF!</v>
      </c>
      <c r="D33" s="13"/>
    </row>
    <row r="34" spans="2:4">
      <c r="B34" s="24"/>
      <c r="C34" s="23"/>
      <c r="D34" s="13"/>
    </row>
    <row r="35" spans="2:4">
      <c r="B35" s="14" t="s">
        <v>79</v>
      </c>
      <c r="C35" s="23">
        <v>0</v>
      </c>
      <c r="D35" s="13"/>
    </row>
    <row r="36" spans="2:4">
      <c r="B36" s="22" t="s">
        <v>80</v>
      </c>
      <c r="C36" s="23">
        <v>0</v>
      </c>
      <c r="D36" s="13"/>
    </row>
    <row r="37" spans="2:4">
      <c r="B37" s="22" t="s">
        <v>81</v>
      </c>
      <c r="C37" s="23"/>
      <c r="D37" s="13"/>
    </row>
    <row r="38" spans="2:4">
      <c r="B38" s="22"/>
      <c r="C38" s="23"/>
      <c r="D38" s="13"/>
    </row>
    <row r="39" spans="2:4">
      <c r="B39" s="28"/>
      <c r="C39" s="23"/>
      <c r="D39" s="13"/>
    </row>
    <row r="40" spans="2:4">
      <c r="B40" s="28"/>
      <c r="C40" s="23"/>
      <c r="D40" s="13"/>
    </row>
    <row r="41" ht="15.25" spans="2:4">
      <c r="B41" s="29"/>
      <c r="C41" s="30"/>
      <c r="D41" s="13"/>
    </row>
    <row r="42" ht="15.25" spans="2:4">
      <c r="B42" s="31" t="s">
        <v>82</v>
      </c>
      <c r="C42" s="32"/>
      <c r="D42" s="13"/>
    </row>
    <row r="43" spans="2:4">
      <c r="B43" s="33"/>
      <c r="C43" s="34"/>
      <c r="D43" s="13"/>
    </row>
    <row r="44" spans="2:4">
      <c r="B44" s="28"/>
      <c r="C44" s="23"/>
      <c r="D44" s="13"/>
    </row>
    <row r="45" spans="2:4">
      <c r="B45" s="28"/>
      <c r="C45" s="23"/>
      <c r="D45" s="13"/>
    </row>
    <row r="46" spans="2:4">
      <c r="B46" s="28"/>
      <c r="C46" s="23"/>
      <c r="D46" s="13"/>
    </row>
    <row r="47" spans="2:4">
      <c r="B47" s="28"/>
      <c r="C47" s="23"/>
      <c r="D47" s="13"/>
    </row>
    <row r="48" ht="15.25" spans="2:4">
      <c r="B48" s="35"/>
      <c r="C48" s="36"/>
      <c r="D48" s="13"/>
    </row>
    <row r="49" spans="2:4">
      <c r="B49" s="37"/>
      <c r="C49" s="10"/>
      <c r="D49" s="8"/>
    </row>
    <row r="50" ht="15.25" spans="2:4">
      <c r="B50" s="9"/>
      <c r="C50" s="10"/>
      <c r="D50" s="8"/>
    </row>
    <row r="51" spans="2:4">
      <c r="B51" s="11" t="s">
        <v>83</v>
      </c>
      <c r="C51" s="12"/>
      <c r="D51" s="13"/>
    </row>
    <row r="52" spans="2:4">
      <c r="B52" s="14" t="s">
        <v>84</v>
      </c>
      <c r="C52" s="15"/>
      <c r="D52" s="13"/>
    </row>
    <row r="53" spans="2:4">
      <c r="B53" s="22" t="s">
        <v>85</v>
      </c>
      <c r="C53" s="23"/>
      <c r="D53" s="13"/>
    </row>
    <row r="54" spans="2:4">
      <c r="B54" s="22" t="s">
        <v>86</v>
      </c>
      <c r="C54" s="23">
        <v>1246573.34</v>
      </c>
      <c r="D54" s="13"/>
    </row>
    <row r="55" spans="2:4">
      <c r="B55" s="25" t="s">
        <v>87</v>
      </c>
      <c r="C55" s="17"/>
      <c r="D55" s="13"/>
    </row>
    <row r="56" spans="2:4">
      <c r="B56" s="25" t="s">
        <v>88</v>
      </c>
      <c r="C56" s="17"/>
      <c r="D56" s="13"/>
    </row>
    <row r="57" spans="2:4">
      <c r="B57" s="25" t="s">
        <v>89</v>
      </c>
      <c r="C57" s="17"/>
      <c r="D57" s="13"/>
    </row>
    <row r="58" spans="2:4">
      <c r="B58" s="22"/>
      <c r="C58" s="23"/>
      <c r="D58" s="13"/>
    </row>
    <row r="59" spans="2:4">
      <c r="B59" s="22"/>
      <c r="C59" s="23"/>
      <c r="D59" s="13"/>
    </row>
    <row r="60" spans="2:4">
      <c r="B60" s="22"/>
      <c r="C60" s="23"/>
      <c r="D60" s="13"/>
    </row>
    <row r="61" spans="2:4">
      <c r="B61" s="28"/>
      <c r="C61" s="23"/>
      <c r="D61" s="13"/>
    </row>
    <row r="62" spans="2:4">
      <c r="B62" s="28"/>
      <c r="C62" s="23"/>
      <c r="D62" s="13"/>
    </row>
    <row r="63" spans="2:4">
      <c r="B63" s="28"/>
      <c r="C63" s="23"/>
      <c r="D63" s="13"/>
    </row>
    <row r="64" spans="2:4">
      <c r="B64" s="28"/>
      <c r="C64" s="23"/>
      <c r="D64" s="13"/>
    </row>
    <row r="65" spans="2:4">
      <c r="B65" s="28"/>
      <c r="C65" s="23"/>
      <c r="D65" s="13"/>
    </row>
    <row r="66" spans="2:4">
      <c r="B66" s="28"/>
      <c r="C66" s="23"/>
      <c r="D66" s="13"/>
    </row>
    <row r="67" spans="2:4">
      <c r="B67" s="28"/>
      <c r="C67" s="23"/>
      <c r="D67" s="13"/>
    </row>
    <row r="68" spans="2:4">
      <c r="B68" s="28"/>
      <c r="C68" s="15"/>
      <c r="D68" s="13"/>
    </row>
    <row r="69" spans="2:4">
      <c r="B69" s="14" t="s">
        <v>90</v>
      </c>
      <c r="C69" s="15"/>
      <c r="D69" s="13"/>
    </row>
    <row r="70" spans="2:4">
      <c r="B70" s="22" t="s">
        <v>91</v>
      </c>
      <c r="C70" s="17"/>
      <c r="D70" s="13"/>
    </row>
    <row r="71" spans="2:4">
      <c r="B71" s="22"/>
      <c r="C71" s="23"/>
      <c r="D71" s="13"/>
    </row>
    <row r="72" spans="2:4">
      <c r="B72" s="22"/>
      <c r="C72" s="23"/>
      <c r="D72" s="13"/>
    </row>
    <row r="73" spans="2:4">
      <c r="B73" s="22"/>
      <c r="C73" s="15"/>
      <c r="D73" s="13"/>
    </row>
    <row r="74" spans="2:4">
      <c r="B74" s="14" t="s">
        <v>92</v>
      </c>
      <c r="C74" s="15"/>
      <c r="D74" s="13"/>
    </row>
    <row r="75" spans="2:4">
      <c r="B75" s="22"/>
      <c r="C75" s="23"/>
      <c r="D75" s="13"/>
    </row>
    <row r="76" spans="2:4">
      <c r="B76" s="22"/>
      <c r="C76" s="18"/>
      <c r="D76" s="13"/>
    </row>
    <row r="77" spans="2:4">
      <c r="B77" s="22"/>
      <c r="C77" s="23"/>
      <c r="D77" s="13"/>
    </row>
    <row r="78" spans="2:4">
      <c r="B78" s="22"/>
      <c r="C78" s="23"/>
      <c r="D78" s="13"/>
    </row>
    <row r="79" spans="2:4">
      <c r="B79" s="28"/>
      <c r="C79" s="23"/>
      <c r="D79" s="13"/>
    </row>
    <row r="80" spans="2:4">
      <c r="B80" s="14" t="s">
        <v>93</v>
      </c>
      <c r="C80" s="15"/>
      <c r="D80" s="13"/>
    </row>
    <row r="81" spans="2:4">
      <c r="B81" s="28"/>
      <c r="C81" s="23"/>
      <c r="D81" s="13"/>
    </row>
    <row r="82" spans="2:4">
      <c r="B82" s="28"/>
      <c r="C82" s="23"/>
      <c r="D82" s="13"/>
    </row>
    <row r="83" spans="2:4">
      <c r="B83" s="28"/>
      <c r="C83" s="23"/>
      <c r="D83" s="13"/>
    </row>
    <row r="84" spans="2:4">
      <c r="B84" s="28"/>
      <c r="C84" s="23"/>
      <c r="D84" s="13"/>
    </row>
    <row r="85" spans="2:4">
      <c r="B85" s="28"/>
      <c r="C85" s="23"/>
      <c r="D85" s="13"/>
    </row>
    <row r="86" spans="2:4">
      <c r="B86" s="28"/>
      <c r="C86" s="23"/>
      <c r="D86" s="13"/>
    </row>
    <row r="87" spans="2:4">
      <c r="B87" s="28"/>
      <c r="C87" s="23"/>
      <c r="D87" s="13"/>
    </row>
    <row r="88" ht="15.25" spans="2:4">
      <c r="B88" s="35"/>
      <c r="C88" s="36"/>
      <c r="D88" s="13"/>
    </row>
    <row r="89" ht="15.25" spans="2:4">
      <c r="B89" s="9"/>
      <c r="C89" s="38"/>
      <c r="D89" s="13"/>
    </row>
    <row r="90" spans="2:4">
      <c r="B90" s="11" t="s">
        <v>94</v>
      </c>
      <c r="C90" s="12"/>
      <c r="D90" s="13"/>
    </row>
    <row r="91" spans="2:4">
      <c r="B91" s="22" t="s">
        <v>95</v>
      </c>
      <c r="C91" s="17">
        <v>1242316000</v>
      </c>
      <c r="D91" s="13"/>
    </row>
    <row r="92" spans="2:4">
      <c r="B92" s="22"/>
      <c r="C92" s="15"/>
      <c r="D92" s="13"/>
    </row>
    <row r="93" spans="2:4">
      <c r="B93" s="22" t="s">
        <v>96</v>
      </c>
      <c r="C93" s="23">
        <v>467000</v>
      </c>
      <c r="D93" s="13"/>
    </row>
    <row r="94" spans="2:4">
      <c r="B94" s="22"/>
      <c r="C94" s="15"/>
      <c r="D94" s="13"/>
    </row>
    <row r="95" spans="2:4">
      <c r="B95" s="22" t="s">
        <v>97</v>
      </c>
      <c r="C95" s="23">
        <v>1252038000</v>
      </c>
      <c r="D95" s="13"/>
    </row>
    <row r="96" spans="2:4">
      <c r="B96" s="22"/>
      <c r="C96" s="15"/>
      <c r="D96" s="13"/>
    </row>
    <row r="97" spans="2:4">
      <c r="B97" s="22" t="s">
        <v>98</v>
      </c>
      <c r="C97" s="23">
        <v>0</v>
      </c>
      <c r="D97" s="13"/>
    </row>
    <row r="98" spans="2:4">
      <c r="B98" s="22"/>
      <c r="C98" s="15"/>
      <c r="D98" s="13"/>
    </row>
    <row r="99" spans="2:4">
      <c r="B99" s="22" t="s">
        <v>99</v>
      </c>
      <c r="C99" s="23">
        <v>1641668000</v>
      </c>
      <c r="D99" s="13"/>
    </row>
    <row r="100" spans="2:4">
      <c r="B100" s="22"/>
      <c r="C100" s="15"/>
      <c r="D100" s="13"/>
    </row>
    <row r="101" spans="2:4">
      <c r="B101" s="22" t="s">
        <v>100</v>
      </c>
      <c r="C101" s="39" t="s">
        <v>101</v>
      </c>
      <c r="D101" s="13"/>
    </row>
    <row r="102" spans="2:4">
      <c r="B102" s="22"/>
      <c r="C102" s="40"/>
      <c r="D102" s="13"/>
    </row>
    <row r="103" ht="15.25" spans="2:4">
      <c r="B103" s="41" t="s">
        <v>102</v>
      </c>
      <c r="C103" s="42"/>
      <c r="D103" s="13"/>
    </row>
    <row r="104" ht="15.25" spans="2:4">
      <c r="B104" s="9"/>
      <c r="C104" s="38"/>
      <c r="D104" s="13"/>
    </row>
    <row r="105" spans="2:4">
      <c r="B105" s="11" t="s">
        <v>103</v>
      </c>
      <c r="C105" s="12"/>
      <c r="D105" s="13"/>
    </row>
    <row r="106" spans="2:4">
      <c r="B106" s="22" t="s">
        <v>104</v>
      </c>
      <c r="C106" s="23">
        <v>0</v>
      </c>
      <c r="D106" s="13"/>
    </row>
    <row r="107" ht="15.25" spans="2:4">
      <c r="B107" s="41" t="s">
        <v>105</v>
      </c>
      <c r="C107" s="43">
        <v>0</v>
      </c>
      <c r="D107" s="13"/>
    </row>
    <row r="108" ht="15.25" spans="2:4">
      <c r="B108" s="9"/>
      <c r="C108" s="38"/>
      <c r="D108" s="13"/>
    </row>
    <row r="109" spans="2:4">
      <c r="B109" s="11" t="s">
        <v>106</v>
      </c>
      <c r="C109" s="12"/>
      <c r="D109" s="13"/>
    </row>
    <row r="110" spans="2:4">
      <c r="B110" s="22"/>
      <c r="C110" s="15"/>
      <c r="D110" s="13"/>
    </row>
    <row r="111" spans="2:4">
      <c r="B111" s="22" t="s">
        <v>107</v>
      </c>
      <c r="C111" s="23">
        <v>0</v>
      </c>
      <c r="D111" s="13"/>
    </row>
    <row r="112" spans="2:4">
      <c r="B112" s="22"/>
      <c r="C112" s="15"/>
      <c r="D112" s="13"/>
    </row>
    <row r="113" spans="2:4">
      <c r="B113" s="22" t="s">
        <v>108</v>
      </c>
      <c r="C113" s="23">
        <v>0</v>
      </c>
      <c r="D113" s="13"/>
    </row>
    <row r="114" spans="2:4">
      <c r="B114" s="22"/>
      <c r="C114" s="15"/>
      <c r="D114" s="13"/>
    </row>
    <row r="115" spans="2:4">
      <c r="B115" s="22" t="s">
        <v>109</v>
      </c>
      <c r="C115" s="17">
        <v>0</v>
      </c>
      <c r="D115" s="13"/>
    </row>
    <row r="116" spans="2:4">
      <c r="B116" s="22"/>
      <c r="C116" s="15"/>
      <c r="D116" s="13"/>
    </row>
    <row r="117" ht="15.25" spans="2:4">
      <c r="B117" s="41" t="s">
        <v>110</v>
      </c>
      <c r="C117" s="44">
        <v>0</v>
      </c>
      <c r="D117" s="13"/>
    </row>
    <row r="118" spans="2:4">
      <c r="B118" s="9"/>
      <c r="C118" s="10"/>
      <c r="D118" s="8"/>
    </row>
    <row r="119" spans="2:4">
      <c r="B119" s="9"/>
      <c r="C119" s="10"/>
      <c r="D119" s="8"/>
    </row>
    <row r="120" ht="15.25" spans="2:4">
      <c r="B120" s="9"/>
      <c r="C120" s="10"/>
      <c r="D120" s="8"/>
    </row>
    <row r="121" spans="2:4">
      <c r="B121" s="11" t="s">
        <v>111</v>
      </c>
      <c r="C121" s="45"/>
      <c r="D121" s="46"/>
    </row>
    <row r="122" spans="2:4">
      <c r="B122" s="22"/>
      <c r="C122" s="47" t="s">
        <v>112</v>
      </c>
      <c r="D122" s="48" t="s">
        <v>113</v>
      </c>
    </row>
    <row r="123" spans="2:4">
      <c r="B123" s="22" t="s">
        <v>114</v>
      </c>
      <c r="C123" s="49" t="s">
        <v>115</v>
      </c>
      <c r="D123" s="50"/>
    </row>
    <row r="124" spans="2:4">
      <c r="B124" s="22" t="s">
        <v>116</v>
      </c>
      <c r="C124" s="51" t="s">
        <v>117</v>
      </c>
      <c r="D124" s="23" t="s">
        <v>118</v>
      </c>
    </row>
    <row r="125" spans="2:4">
      <c r="B125" s="22" t="s">
        <v>119</v>
      </c>
      <c r="C125" s="52">
        <v>2022</v>
      </c>
      <c r="D125" s="50"/>
    </row>
    <row r="126" spans="2:4">
      <c r="B126" s="53" t="s">
        <v>120</v>
      </c>
      <c r="C126" s="54">
        <f>DATEDIF(C127,C128+29,"M")</f>
        <v>6</v>
      </c>
      <c r="D126" s="55"/>
    </row>
    <row r="127" spans="2:4">
      <c r="B127" s="22" t="s">
        <v>121</v>
      </c>
      <c r="C127" s="56">
        <v>44742</v>
      </c>
      <c r="D127" s="50"/>
    </row>
    <row r="128" ht="15.25" spans="2:4">
      <c r="B128" s="41" t="s">
        <v>122</v>
      </c>
      <c r="C128" s="57">
        <v>44926</v>
      </c>
      <c r="D128" s="58"/>
    </row>
    <row r="129" ht="15.25" spans="2:4">
      <c r="B129" s="9"/>
      <c r="C129" s="10"/>
      <c r="D129" s="8"/>
    </row>
    <row r="130" spans="2:4">
      <c r="B130" s="11" t="s">
        <v>123</v>
      </c>
      <c r="C130" s="12"/>
      <c r="D130" s="13"/>
    </row>
    <row r="131" spans="2:4">
      <c r="B131" s="22"/>
      <c r="C131" s="15"/>
      <c r="D131" s="13"/>
    </row>
    <row r="132" spans="2:4">
      <c r="B132" s="22" t="s">
        <v>124</v>
      </c>
      <c r="C132" s="59">
        <v>9198000</v>
      </c>
      <c r="D132" s="13"/>
    </row>
    <row r="133" spans="2:4">
      <c r="B133" s="22"/>
      <c r="C133" s="15"/>
      <c r="D133" s="13"/>
    </row>
    <row r="134" ht="15.25" spans="2:4">
      <c r="B134" s="41" t="s">
        <v>125</v>
      </c>
      <c r="C134" s="43">
        <v>0</v>
      </c>
      <c r="D134" s="13"/>
    </row>
  </sheetData>
  <dataValidations count="5">
    <dataValidation type="list" allowBlank="1" showErrorMessage="1" sqref="C4">
      <formula1>$J$2:$J$7</formula1>
    </dataValidation>
    <dataValidation type="list" allowBlank="1" showErrorMessage="1" sqref="C123">
      <formula1>$N$122:$N$124</formula1>
    </dataValidation>
    <dataValidation type="list" allowBlank="1" showErrorMessage="1" sqref="C124:D124">
      <formula1>$K$122:$K$134</formula1>
    </dataValidation>
    <dataValidation type="list" allowBlank="1" showErrorMessage="1" sqref="C125">
      <formula1>$M$126:$M$212</formula1>
    </dataValidation>
    <dataValidation type="list" allowBlank="1" showErrorMessage="1" sqref="C101:C102">
      <formula1>$F$100:$F$103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CA SUMMARY</vt:lpstr>
      <vt:lpstr>CA LEASHOLD IMPROVEMENT</vt:lpstr>
      <vt:lpstr>CA MOTOR VEHICLE</vt:lpstr>
      <vt:lpstr>CA FURNITURE AND FITTING</vt:lpstr>
      <vt:lpstr>CA COMPUTER EQUIPMENTS</vt:lpstr>
      <vt:lpstr>CA OFFICE EQUIPMENTS</vt:lpstr>
      <vt:lpstr>COMPUTER SOFTWARE</vt:lpstr>
      <vt:lpstr>INCOME TAX COMP</vt:lpstr>
      <vt:lpstr>INPUT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</dc:creator>
  <cp:lastModifiedBy>intern</cp:lastModifiedBy>
  <dcterms:created xsi:type="dcterms:W3CDTF">2025-08-18T08:46:00Z</dcterms:created>
  <dcterms:modified xsi:type="dcterms:W3CDTF">2026-02-02T09:24:22Z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7C09BBA6D0844A95BA6CD4D927C4DFF3_11</vt:lpwstr>
  </property>
  <property fmtid="{D5CDD505-2E9C-101B-9397-08002B2CF9AE}" pid="3" name="KSOProductBuildVer">
    <vt:lpwstr>1033-12.2.0.23196</vt:lpwstr>
  </property>
</Properties>
</file>